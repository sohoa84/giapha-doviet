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5D003179-6120-4683-840A-043DD17A10CC}" xr6:coauthVersionLast="47" xr6:coauthVersionMax="47" xr10:uidLastSave="{00000000-0000-0000-0000-000000000000}"/>
  <bookViews>
    <workbookView xWindow="-12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<sst xmlns="http://schemas.openxmlformats.org/spreadsheetml/2006/main" count="1147" uniqueCount="567">
  <si>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</si>
  <si>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</si>
  <si>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</si>
  <si>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</si>
  <si>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</si>
  <si>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</si>
  <si>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</si>
  <si>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</si>
  <si>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</si>
  <si>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</si>
  <si>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</si>
  <si>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</si>
  <si>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</si>
  <si>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</si>
  <si>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</si>
  <si>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</si>
  <si>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</si>
  <si>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</si>
  <si>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</si>
  <si>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</si>
  <si>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</si>
  <si>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</si>
  <si>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</si>
  <si>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</si>
  <si>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</si>
  <si>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</si>
  <si>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</si>
  <si>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</si>
  <si>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</si>
  <si>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</si>
  <si>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</si>
  <si>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</si>
  <si>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</si>
  <si>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</si>
  <si>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</si>
  <si>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</si>
  <si>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</si>
  <si>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</si>
  <si>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</si>
  <si>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</si>
  <si>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</si>
  <si>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</si>
  <si>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</si>
  <si>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</si>
  <si>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</si>
  <si>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</si>
  <si>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</si>
  <si>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</si>
  <si>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</si>
  <si>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</si>
  <si>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</si>
  <si>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</si>
  <si>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</si>
  <si>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</si>
  <si>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</si>
  <si>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</si>
  <si>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</si>
  <si>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</si>
  <si>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</si>
  <si>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</si>
  <si>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</si>
  <si>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</si>
  <si>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</si>
  <si>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</si>
  <si>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</si>
  <si>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</si>
  <si>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</si>
  <si>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</si>
  <si>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</si>
  <si>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</si>
  <si>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</si>
  <si>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</si>
  <si>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</si>
  <si>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</si>
  <si>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</si>
  <si>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</si>
  <si>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</si>
  <si>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</si>
  <si>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</si>
  <si>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</si>
  <si>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</si>
  <si>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</si>
  <si>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</si>
  <si>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</si>
  <si>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</si>
  <si>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</si>
  <si>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</si>
  <si>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</si>
  <si>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</si>
  <si>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</si>
  <si>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</si>
  <si>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</si>
  <si>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</si>
  <si>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</si>
  <si>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</si>
  <si>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</si>
  <si>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</si>
  <si>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</si>
  <si>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</si>
  <si>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</si>
  <si>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</si>
  <si>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</si>
  <si>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</si>
  <si>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</si>
  <si>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</si>
  <si>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</si>
  <si>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</si>
  <si>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</si>
  <si>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</si>
  <si>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</si>
  <si>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</si>
  <si>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</si>
  <si>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</si>
  <si>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</si>
  <si>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</si>
  <si>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</si>
  <si>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</si>
  <si>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</si>
  <si>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</si>
  <si>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</si>
  <si>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</si>
  <si>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</si>
  <si>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</si>
  <si>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</si>
  <si>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</si>
  <si>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</si>
  <si>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</si>
  <si>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</si>
  <si>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</si>
  <si>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</si>
  <si>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</si>
  <si>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</si>
  <si>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</si>
  <si>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</si>
  <si>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</si>
  <si>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</si>
  <si>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</si>
  <si>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</si>
  <si>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</si>
  <si>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</si>
  <si>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</si>
  <si>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</si>
  <si>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</si>
  <si>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</si>
  <si>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</si>
  <si>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</si>
  <si>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</si>
  <si>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</si>
  <si>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</si>
  <si>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</si>
  <si>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</si>
  <si>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</si>
  <si>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</si>
  <si>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</si>
  <si>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</si>
  <si>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</si>
  <si>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</si>
  <si>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</si>
  <si>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</si>
  <si>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</si>
  <si>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</si>
  <si>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</si>
  <si>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</si>
  <si>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</si>
  <si>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</si>
  <si>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</si>
  <si>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</si>
  <si>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</si>
  <si>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</si>
  <si>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</si>
  <si>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</si>
  <si>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</si>
  <si>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</si>
  <si>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</si>
  <si>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</si>
  <si>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</si>
  <si>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</si>
  <si>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</si>
  <si>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</si>
  <si>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</si>
  <si>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</si>
  <si>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</si>
  <si>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</si>
  <si>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</si>
  <si>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</si>
  <si>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</si>
  <si>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</si>
  <si>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</si>
  <si>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</si>
  <si>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</si>
  <si>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</si>
  <si>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</si>
  <si>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</si>
  <si>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</si>
  <si>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</si>
  <si>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</si>
  <si>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</si>
  <si>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</si>
  <si>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</si>
  <si>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</si>
  <si>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</si>
  <si>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</si>
  <si>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</si>
  <si>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</si>
  <si>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</si>
  <si>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</si>
  <si>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</si>
  <si>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</si>
  <si>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</si>
  <si>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</si>
  <si>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</si>
  <si>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</si>
  <si>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</si>
  <si>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</si>
  <si>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</si>
  <si>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</si>
  <si>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</si>
  <si>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</si>
  <si>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</si>
  <si>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</si>
  <si>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</si>
  <si>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</si>
  <si>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</si>
  <si>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</si>
  <si>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</si>
  <si>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</si>
  <si>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</si>
  <si>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</si>
  <si>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</si>
  <si>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</si>
  <si>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</si>
  <si>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</si>
  <si>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</si>
  <si>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</si>
  <si>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</si>
  <si>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</si>
  <si>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</si>
  <si>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</si>
  <si>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</si>
  <si>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</si>
  <si>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</si>
  <si>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</si>
  <si>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</si>
  <si>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</si>
  <si>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</si>
  <si>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</si>
  <si>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</si>
  <si>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</si>
  <si>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</si>
  <si>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</si>
  <si>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</si>
  <si>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</si>
  <si>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</si>
  <si>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</si>
  <si>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</si>
  <si>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</si>
  <si>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</si>
  <si>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</si>
  <si>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</si>
  <si>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</si>
  <si>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</si>
  <si>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</si>
  <si>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</si>
  <si>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</si>
  <si>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</si>
  <si>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</si>
  <si>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</si>
  <si>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</si>
  <si>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</si>
  <si>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</si>
  <si>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</si>
  <si>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</si>
  <si>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</si>
  <si>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</si>
  <si>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</si>
  <si>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</si>
  <si>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</si>
  <si>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</si>
  <si>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</si>
  <si>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</si>
  <si>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</si>
  <si>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</si>
  <si>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</si>
  <si>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</si>
  <si>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</si>
  <si>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</si>
  <si>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</si>
  <si>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</si>
  <si>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</si>
  <si>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</si>
  <si>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</si>
  <si>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</si>
  <si>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</si>
  <si>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</si>
  <si>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</si>
  <si>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</si>
  <si>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</si>
  <si>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</si>
  <si>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</si>
  <si>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</si>
  <si>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</si>
  <si>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</si>
  <si>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</si>
  <si>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</si>
  <si>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</si>
  <si>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</si>
  <si>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</si>
  <si>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</si>
  <si>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</si>
  <si>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</si>
  <si>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</si>
  <si>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</si>
  <si>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</si>
  <si>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</si>
  <si>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</si>
  <si>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</si>
  <si>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</si>
  <si>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</si>
  <si>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</si>
  <si>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</si>
  <si>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</si>
  <si>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</si>
  <si>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</si>
  <si>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</si>
  <si>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</si>
  <si>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</si>
  <si>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</si>
  <si>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</si>
  <si>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</si>
  <si>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</si>
  <si>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</si>
  <si>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</si>
  <si>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</si>
  <si>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</si>
  <si>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</si>
  <si>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</si>
  <si>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</si>
  <si>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</si>
  <si>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</si>
  <si>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</si>
  <si>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</si>
  <si>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</si>
  <si>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</si>
  <si>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</si>
  <si>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</si>
  <si>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</si>
  <si>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</si>
  <si>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</si>
  <si>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</si>
  <si>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</si>
  <si>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</si>
  <si>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</si>
  <si>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</si>
  <si>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</si>
  <si>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</si>
  <si>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</si>
  <si>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</si>
  <si>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</si>
  <si>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</si>
  <si>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</si>
  <si>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</si>
  <si>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</si>
  <si>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</si>
  <si>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</si>
  <si>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</si>
  <si>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</si>
  <si>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</si>
  <si>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</si>
  <si>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</si>
  <si>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</si>
  <si>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</si>
  <si>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</si>
  <si>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</si>
  <si>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</si>
  <si>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</si>
  <si>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</si>
  <si>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</si>
  <si>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</si>
  <si>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</si>
  <si>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</si>
  <si>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</si>
  <si>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</si>
  <si>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</si>
  <si>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</si>
  <si>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</si>
  <si>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</si>
  <si>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</si>
  <si>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</si>
  <si>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</si>
  <si>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</si>
  <si>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</si>
  <si>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</si>
  <si>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</si>
  <si>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</si>
  <si>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</si>
  <si>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</si>
  <si>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</si>
  <si>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</si>
  <si>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</si>
  <si>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</si>
  <si>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</si>
  <si>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images/persons/VA-8.07.jpg</t>
  </si>
  <si>
    <t>images/persons/VA-8.07S1.jpg</t>
  </si>
  <si>
    <t>images/persons/VA-8.08.jpg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</si>
  <si>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</si>
  <si>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</si>
  <si>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</si>
  <si>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</si>
  <si>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</si>
  <si>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</si>
  <si>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</si>
  <si>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</si>
  <si>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</si>
  <si>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</si>
  <si>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</si>
  <si>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</si>
  <si>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</si>
  <si>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</si>
  <si>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</si>
  <si>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</si>
  <si>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</si>
  <si>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</si>
  <si>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</si>
  <si>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</si>
  <si>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</si>
  <si>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</si>
  <si>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</si>
  <si>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</si>
  <si>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</si>
  <si>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</si>
  <si>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</si>
  <si>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</si>
  <si>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</si>
  <si>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</si>
  <si>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</si>
  <si>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</si>
  <si>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</si>
  <si>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</si>
  <si>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</si>
  <si>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</si>
  <si>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</si>
  <si>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</si>
  <si>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</si>
  <si>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</si>
  <si>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images/persons/VA-10.01.jpg</t>
  </si>
  <si>
    <t>images/persons/VA-10.01S1.jpg</t>
  </si>
  <si>
    <t>images/persons/VA-10.02.jpg</t>
  </si>
  <si>
    <t>images/persons/VA-10.02S1.jpg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</si>
  <si>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</si>
  <si>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</si>
  <si>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</si>
  <si>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</si>
  <si>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</si>
  <si>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</si>
  <si>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</si>
  <si>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</si>
  <si>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</si>
  <si>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</si>
  <si>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</si>
  <si>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</si>
  <si>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</si>
  <si>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</si>
  <si>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</si>
  <si>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</si>
  <si>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</si>
  <si>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</si>
  <si>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</si>
  <si>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</si>
  <si>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</si>
  <si>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</si>
  <si>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</si>
  <si>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</si>
  <si>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</si>
  <si>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</si>
  <si>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</si>
  <si>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</si>
  <si>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</si>
  <si>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</si>
  <si>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</si>
  <si>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</si>
  <si>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</si>
  <si>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</si>
  <si>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</si>
  <si>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</si>
  <si>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</si>
  <si>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</si>
  <si>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</si>
  <si>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</si>
  <si>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</si>
  <si>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</si>
  <si>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</si>
  <si>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</si>
  <si>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</si>
  <si>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</si>
  <si>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</si>
  <si>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</si>
  <si>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</si>
  <si>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</si>
  <si>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Cốc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</si>
  <si>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</si>
  <si>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</si>
  <si>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</si>
  <si>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</si>
  <si>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</si>
  <si>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</si>
  <si>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</si>
  <si>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</si>
  <si>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</si>
  <si>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</si>
  <si>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</si>
  <si>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</si>
  <si>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</si>
  <si>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</si>
  <si>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</si>
  <si>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</si>
  <si>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</si>
  <si>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</si>
  <si>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</si>
  <si>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</si>
  <si>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</si>
  <si>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</si>
  <si>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</si>
  <si>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</si>
  <si>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</si>
  <si>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</si>
  <si>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</si>
  <si>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</si>
  <si>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</si>
  <si>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15/10</t>
  </si>
  <si>
    <t>Tự Thuần Ban  giỗ 15/10 (chép theo danh sách Cung Thỉnh)</t>
  </si>
  <si>
    <t>ThuTuHienThi</t>
  </si>
  <si>
    <t>Mất ngày 11/12/1954 tức 17/11 ÂL</t>
  </si>
  <si>
    <t>cụ bà Quặm (vợ lẽ cụ Cốc)  Mất ngày 11/12/1954 tức 17/11 Âm lịch</t>
  </si>
  <si>
    <t>17/11/1954</t>
  </si>
  <si>
    <t>12/11/1977</t>
  </si>
  <si>
    <t>Nguyễn Quý Công Tự Phúc Cốc. Chết 12/11/1977 Đinh Tỵ , thọ 73 tuổi</t>
  </si>
  <si>
    <t>Giỗ 12/11 Đinh Tỵ</t>
  </si>
  <si>
    <t>Vũ Thị Vạc, hiệu Diệu Đạt giỗ 02/02 ?</t>
  </si>
  <si>
    <t>Vũ Quý Thị</t>
  </si>
  <si>
    <t>Vịt</t>
  </si>
  <si>
    <t>02/02</t>
  </si>
  <si>
    <t>Vũ Quý Thị Vịt, hiệu Diệu Đạt, mất 02/02</t>
  </si>
  <si>
    <t>Giỗ 13/08</t>
  </si>
  <si>
    <t>images/3ba.jpg</t>
  </si>
  <si>
    <t>images/Backdrop2026.jpg</t>
  </si>
  <si>
    <t>images/CacBa.jpg</t>
  </si>
  <si>
    <t>Ảnh tập thể</t>
  </si>
  <si>
    <t>Background 2026</t>
  </si>
  <si>
    <t>images/ChiVinhAn.jpg</t>
  </si>
  <si>
    <t>images/XuanHien.jpg</t>
  </si>
  <si>
    <t>Ảnh gia đình</t>
  </si>
  <si>
    <t>images/BatTay.jpg</t>
  </si>
  <si>
    <t>Bắt tay giữa Xuân Đông và Xuân Trường</t>
  </si>
  <si>
    <t>Trần</t>
  </si>
  <si>
    <t>Chanh</t>
  </si>
  <si>
    <t>images/ConTraiVA.jpg</t>
  </si>
  <si>
    <t>images/MoToVA.jpg</t>
  </si>
  <si>
    <t>Ảnh Mộ Tổ Phúc Bằng</t>
  </si>
  <si>
    <t>Tập thể Nam</t>
  </si>
  <si>
    <t>Sơ đồ chi vĩnh an</t>
  </si>
  <si>
    <t>images/about/so-do-nguyenxuan.jpg</t>
  </si>
  <si>
    <t>images/about/ba-chi-nguyen-xuan.jpg</t>
  </si>
  <si>
    <t>images/about/gia-pha-co.jpg</t>
  </si>
  <si>
    <t>Sơ đổ Tổng Gia Phả họ Nguyễn Xuân từ đời 1</t>
  </si>
  <si>
    <t>Hình thành ba nhánh Chi</t>
  </si>
  <si>
    <t>Trang sách Gia phả Nguyễn Xuân</t>
  </si>
  <si>
    <t>images/about/chi-vinh-an.jpg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</si>
</sst>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4" xfId="0" applyBorder="1"/>
    <xf numFmtId="16" fontId="0" fillId="0" borderId="0" xfId="0" quotePrefix="1" applyNumberFormat="1"/>
    <xf numFmtId="0" fontId="4" fillId="0" borderId="2" xfId="0" applyFont="1" applyBorder="1"/>
    <xf numFmtId="0" fontId="0" fillId="10" borderId="5" xfId="0" applyFill="1" applyBorder="1"/>
    <xf numFmtId="0" fontId="2" fillId="4" borderId="0" xfId="0" applyFont="1" applyFill="1" applyBorder="1"/>
    <xf numFmtId="0" fontId="2" fillId="5" borderId="4" xfId="0" applyFont="1" applyFill="1" applyBorder="1"/>
    <xf numFmtId="0" fontId="2" fillId="5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10" workbookViewId="0">
      <selection activeCell="J130" sqref="J130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342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343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>
        <v>1900</v>
      </c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>
        <v>1900</v>
      </c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>
        <v>1900</v>
      </c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>
        <v>1900</v>
      </c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>
        <v>1900</v>
      </c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307</v>
      </c>
      <c r="F7" s="17" t="s">
        <v>11</v>
      </c>
      <c r="G7" s="19"/>
      <c r="H7" s="18">
        <v>1900</v>
      </c>
      <c r="I7" s="18"/>
      <c r="J7" s="18"/>
      <c r="K7" s="18"/>
      <c r="L7" s="18" t="s">
        <v>526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>
        <v>1900</v>
      </c>
      <c r="I8" s="2" t="s">
        <v>6</v>
      </c>
      <c r="J8" s="2" t="s">
        <v>9</v>
      </c>
      <c r="K8" s="2"/>
      <c r="L8" s="2" t="s">
        <v>527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297</v>
      </c>
      <c r="D9" s="18" t="s">
        <v>298</v>
      </c>
      <c r="E9" s="19"/>
      <c r="F9" s="17" t="s">
        <v>11</v>
      </c>
      <c r="G9" s="19"/>
      <c r="H9" s="18">
        <v>1900</v>
      </c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>
        <v>1900</v>
      </c>
      <c r="I10" s="2" t="s">
        <v>6</v>
      </c>
      <c r="J10" s="2" t="s">
        <v>9</v>
      </c>
      <c r="K10" s="2"/>
      <c r="L10" s="2" t="s">
        <v>306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>
        <v>1900</v>
      </c>
      <c r="I11" s="2" t="s">
        <v>6</v>
      </c>
      <c r="J11" s="2" t="s">
        <v>9</v>
      </c>
      <c r="K11" s="2"/>
      <c r="L11" s="2" t="s">
        <v>306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>
        <v>1900</v>
      </c>
      <c r="I12" s="2" t="s">
        <v>6</v>
      </c>
      <c r="J12" s="2" t="s">
        <v>9</v>
      </c>
      <c r="K12" s="2"/>
      <c r="L12" s="2" t="s">
        <v>525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308</v>
      </c>
      <c r="F13" s="17" t="s">
        <v>11</v>
      </c>
      <c r="G13" s="19"/>
      <c r="H13" s="18">
        <v>1900</v>
      </c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>
        <v>1900</v>
      </c>
      <c r="I14" s="2" t="s">
        <v>12</v>
      </c>
      <c r="J14" s="2" t="s">
        <v>196</v>
      </c>
      <c r="K14" s="2"/>
      <c r="L14" s="2" t="s">
        <v>306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>
        <v>1900</v>
      </c>
      <c r="I15" s="2" t="s">
        <v>12</v>
      </c>
      <c r="J15" s="2" t="s">
        <v>196</v>
      </c>
      <c r="K15" s="2"/>
      <c r="L15" s="2" t="s">
        <v>306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>
        <v>1900</v>
      </c>
      <c r="I16" s="2" t="s">
        <v>12</v>
      </c>
      <c r="J16" s="2" t="s">
        <v>196</v>
      </c>
      <c r="K16" s="2"/>
      <c r="L16" s="2" t="s">
        <v>309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>
        <v>1900</v>
      </c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>
        <v>1900</v>
      </c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297</v>
      </c>
      <c r="D19" s="18" t="s">
        <v>298</v>
      </c>
      <c r="E19" s="19"/>
      <c r="F19" s="17" t="s">
        <v>8</v>
      </c>
      <c r="G19" s="19"/>
      <c r="H19" s="18">
        <v>1900</v>
      </c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497</v>
      </c>
      <c r="F20" s="2" t="s">
        <v>8</v>
      </c>
      <c r="G20" s="2"/>
      <c r="H20" s="2">
        <v>1900</v>
      </c>
      <c r="I20" s="2" t="s">
        <v>22</v>
      </c>
      <c r="J20" s="2" t="s">
        <v>200</v>
      </c>
      <c r="K20" s="2"/>
      <c r="L20" s="2" t="s">
        <v>542</v>
      </c>
      <c r="M20" s="2">
        <v>6</v>
      </c>
    </row>
    <row r="21" spans="1:13" x14ac:dyDescent="0.25">
      <c r="A21" s="19">
        <v>20</v>
      </c>
      <c r="B21" s="14" t="s">
        <v>203</v>
      </c>
      <c r="C21" s="18" t="s">
        <v>538</v>
      </c>
      <c r="D21" s="18" t="s">
        <v>539</v>
      </c>
      <c r="E21" s="19"/>
      <c r="F21" s="17" t="s">
        <v>11</v>
      </c>
      <c r="G21" s="19"/>
      <c r="H21" s="18">
        <v>1900</v>
      </c>
      <c r="I21" s="18"/>
      <c r="J21" s="18"/>
      <c r="K21" s="18"/>
      <c r="L21" s="18" t="s">
        <v>537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305</v>
      </c>
      <c r="E22" s="2"/>
      <c r="F22" s="2" t="s">
        <v>8</v>
      </c>
      <c r="G22" s="2"/>
      <c r="H22" s="2">
        <v>1900</v>
      </c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248</v>
      </c>
      <c r="D23" s="18" t="s">
        <v>77</v>
      </c>
      <c r="E23" s="19"/>
      <c r="F23" s="17" t="s">
        <v>11</v>
      </c>
      <c r="G23" s="19"/>
      <c r="H23" s="18">
        <v>1900</v>
      </c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>
        <v>1900</v>
      </c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 t="s">
        <v>498</v>
      </c>
      <c r="F25" s="2" t="s">
        <v>8</v>
      </c>
      <c r="G25" s="2">
        <v>1904</v>
      </c>
      <c r="H25" s="2">
        <v>1977</v>
      </c>
      <c r="I25" s="2" t="s">
        <v>31</v>
      </c>
      <c r="J25" s="2" t="str">
        <f>I25&amp;"S1"</f>
        <v>VA-6.05S1</v>
      </c>
      <c r="K25" s="2"/>
      <c r="L25" s="2" t="s">
        <v>536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249</v>
      </c>
      <c r="E26" s="14"/>
      <c r="F26" s="17" t="s">
        <v>11</v>
      </c>
      <c r="G26" s="14"/>
      <c r="H26" s="18"/>
      <c r="I26" s="18"/>
      <c r="J26" s="18"/>
      <c r="K26" s="18"/>
      <c r="L26" s="18" t="s">
        <v>521</v>
      </c>
      <c r="M26" s="17">
        <v>7</v>
      </c>
    </row>
    <row r="27" spans="1:13" x14ac:dyDescent="0.25">
      <c r="A27" s="19">
        <v>26</v>
      </c>
      <c r="B27" s="14" t="s">
        <v>310</v>
      </c>
      <c r="C27" s="18" t="s">
        <v>175</v>
      </c>
      <c r="D27" s="18" t="s">
        <v>311</v>
      </c>
      <c r="E27" s="14"/>
      <c r="F27" s="17" t="s">
        <v>11</v>
      </c>
      <c r="G27" s="14">
        <v>1912</v>
      </c>
      <c r="H27" s="18">
        <v>1954</v>
      </c>
      <c r="I27" s="18"/>
      <c r="J27" s="18"/>
      <c r="K27" s="18"/>
      <c r="L27" s="18" t="s">
        <v>531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341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250</v>
      </c>
      <c r="D29" s="18" t="s">
        <v>251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499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392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252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393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500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253</v>
      </c>
      <c r="D33" s="18" t="s">
        <v>254</v>
      </c>
      <c r="E33" s="16"/>
      <c r="F33" s="17" t="s">
        <v>11</v>
      </c>
      <c r="G33" s="16"/>
      <c r="H33" s="18"/>
      <c r="I33" s="18"/>
      <c r="J33" s="18"/>
      <c r="K33" s="18" t="s">
        <v>395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501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396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255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397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502</v>
      </c>
      <c r="F36" s="3" t="s">
        <v>8</v>
      </c>
      <c r="G36" s="4" t="s">
        <v>313</v>
      </c>
      <c r="H36" s="3"/>
      <c r="I36" s="3" t="s">
        <v>34</v>
      </c>
      <c r="J36" s="3" t="s">
        <v>205</v>
      </c>
      <c r="K36" s="3" t="s">
        <v>398</v>
      </c>
      <c r="L36" s="3" t="s">
        <v>520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297</v>
      </c>
      <c r="D37" s="18" t="s">
        <v>298</v>
      </c>
      <c r="E37" s="16"/>
      <c r="F37" s="17" t="s">
        <v>11</v>
      </c>
      <c r="G37" s="16"/>
      <c r="H37" s="18"/>
      <c r="I37" s="18"/>
      <c r="J37" s="18"/>
      <c r="K37" s="18" t="s">
        <v>399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400</v>
      </c>
      <c r="L38" s="3" t="s">
        <v>317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256</v>
      </c>
      <c r="D39" s="18" t="s">
        <v>257</v>
      </c>
      <c r="E39" s="16"/>
      <c r="F39" s="17" t="s">
        <v>8</v>
      </c>
      <c r="G39" s="16"/>
      <c r="H39" s="18"/>
      <c r="I39" s="18"/>
      <c r="J39" s="18"/>
      <c r="K39" s="18"/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/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401</v>
      </c>
      <c r="L41" s="3" t="s">
        <v>391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258</v>
      </c>
      <c r="D42" s="18" t="s">
        <v>259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402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310</v>
      </c>
      <c r="K43" s="3" t="s">
        <v>403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260</v>
      </c>
      <c r="E44" s="16"/>
      <c r="F44" s="17" t="s">
        <v>11</v>
      </c>
      <c r="G44" s="16"/>
      <c r="H44" s="18"/>
      <c r="I44" s="18"/>
      <c r="J44" s="18"/>
      <c r="K44" s="18"/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310</v>
      </c>
      <c r="K45" s="3" t="s">
        <v>404</v>
      </c>
      <c r="L45" s="3" t="s">
        <v>314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261</v>
      </c>
      <c r="D46" s="18" t="s">
        <v>262</v>
      </c>
      <c r="E46" s="16"/>
      <c r="F46" s="17" t="s">
        <v>8</v>
      </c>
      <c r="G46" s="16"/>
      <c r="H46" s="18"/>
      <c r="I46" s="18"/>
      <c r="J46" s="18"/>
      <c r="K46" s="18" t="s">
        <v>405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310</v>
      </c>
      <c r="K47" s="3" t="s">
        <v>406</v>
      </c>
      <c r="L47" s="3" t="s">
        <v>315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256</v>
      </c>
      <c r="D48" s="18" t="s">
        <v>263</v>
      </c>
      <c r="E48" s="16"/>
      <c r="F48" s="17" t="s">
        <v>8</v>
      </c>
      <c r="G48" s="16"/>
      <c r="H48" s="18"/>
      <c r="I48" s="18"/>
      <c r="J48" s="18"/>
      <c r="K48" s="18" t="s">
        <v>407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408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409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250</v>
      </c>
      <c r="D51" s="18" t="s">
        <v>264</v>
      </c>
      <c r="E51" s="21"/>
      <c r="F51" s="17" t="s">
        <v>8</v>
      </c>
      <c r="G51" s="21"/>
      <c r="H51" s="18"/>
      <c r="I51" s="18"/>
      <c r="J51" s="18"/>
      <c r="K51" s="18" t="s">
        <v>410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411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265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412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413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266</v>
      </c>
      <c r="E55" s="21"/>
      <c r="F55" s="17" t="s">
        <v>11</v>
      </c>
      <c r="G55" s="21">
        <v>1959</v>
      </c>
      <c r="H55" s="18"/>
      <c r="I55" s="18"/>
      <c r="J55" s="18"/>
      <c r="K55" s="18" t="s">
        <v>414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415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267</v>
      </c>
      <c r="D57" s="18" t="s">
        <v>268</v>
      </c>
      <c r="E57" s="21"/>
      <c r="F57" s="17" t="s">
        <v>8</v>
      </c>
      <c r="G57" s="21"/>
      <c r="H57" s="18"/>
      <c r="I57" s="18"/>
      <c r="J57" s="18"/>
      <c r="K57" s="18" t="s">
        <v>416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417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269</v>
      </c>
      <c r="D59" s="18" t="s">
        <v>270</v>
      </c>
      <c r="E59" s="21"/>
      <c r="F59" s="17" t="s">
        <v>8</v>
      </c>
      <c r="G59" s="21">
        <v>1955</v>
      </c>
      <c r="H59" s="18"/>
      <c r="I59" s="18"/>
      <c r="J59" s="18"/>
      <c r="K59" s="18" t="s">
        <v>418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419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271</v>
      </c>
      <c r="D61" s="18" t="s">
        <v>266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420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421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269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422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423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272</v>
      </c>
      <c r="E65" s="21"/>
      <c r="F65" s="17" t="s">
        <v>11</v>
      </c>
      <c r="G65" s="21"/>
      <c r="H65" s="18"/>
      <c r="I65" s="18"/>
      <c r="J65" s="18"/>
      <c r="K65" s="18" t="s">
        <v>424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425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426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427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273</v>
      </c>
      <c r="D69" s="18" t="s">
        <v>254</v>
      </c>
      <c r="E69" s="21"/>
      <c r="F69" s="17" t="s">
        <v>8</v>
      </c>
      <c r="G69" s="21"/>
      <c r="H69" s="18"/>
      <c r="I69" s="18"/>
      <c r="J69" s="18"/>
      <c r="K69" s="18" t="s">
        <v>428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429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274</v>
      </c>
      <c r="D71" s="18" t="s">
        <v>275</v>
      </c>
      <c r="E71" s="21"/>
      <c r="F71" s="17" t="s">
        <v>8</v>
      </c>
      <c r="G71" s="21"/>
      <c r="H71" s="18"/>
      <c r="I71" s="18"/>
      <c r="J71" s="18"/>
      <c r="K71" s="18" t="s">
        <v>430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431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256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432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433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276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434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435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277</v>
      </c>
      <c r="D77" s="18" t="s">
        <v>265</v>
      </c>
      <c r="E77" s="21"/>
      <c r="F77" s="17" t="s">
        <v>11</v>
      </c>
      <c r="G77" s="21">
        <v>1977</v>
      </c>
      <c r="H77" s="18"/>
      <c r="I77" s="18"/>
      <c r="J77" s="18"/>
      <c r="K77" s="18" t="s">
        <v>436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437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553</v>
      </c>
      <c r="D79" s="18" t="s">
        <v>554</v>
      </c>
      <c r="E79" s="21"/>
      <c r="F79" s="17" t="s">
        <v>8</v>
      </c>
      <c r="G79" s="21"/>
      <c r="H79" s="18"/>
      <c r="I79" s="18"/>
      <c r="J79" s="18"/>
      <c r="K79" s="18"/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438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266</v>
      </c>
      <c r="E81" s="21"/>
      <c r="F81" s="17" t="s">
        <v>11</v>
      </c>
      <c r="G81" s="21"/>
      <c r="H81" s="18"/>
      <c r="I81" s="18"/>
      <c r="J81" s="18"/>
      <c r="K81" s="18" t="s">
        <v>439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278</v>
      </c>
      <c r="D83" s="10" t="s">
        <v>279</v>
      </c>
      <c r="E83" s="12"/>
      <c r="F83" s="9" t="s">
        <v>11</v>
      </c>
      <c r="G83" s="12"/>
      <c r="H83" s="10"/>
      <c r="I83" s="10"/>
      <c r="J83" s="10"/>
      <c r="K83" s="10" t="s">
        <v>441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442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280</v>
      </c>
      <c r="D85" s="10" t="s">
        <v>281</v>
      </c>
      <c r="E85" s="12"/>
      <c r="F85" s="9" t="s">
        <v>8</v>
      </c>
      <c r="G85" s="12"/>
      <c r="H85" s="10"/>
      <c r="I85" s="10"/>
      <c r="J85" s="10"/>
      <c r="K85" s="10" t="s">
        <v>443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/>
      <c r="L86" s="8" t="s">
        <v>306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444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445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446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282</v>
      </c>
      <c r="D90" s="10" t="s">
        <v>283</v>
      </c>
      <c r="E90" s="13"/>
      <c r="F90" s="9" t="s">
        <v>11</v>
      </c>
      <c r="G90" s="13">
        <v>1997</v>
      </c>
      <c r="H90" s="10"/>
      <c r="I90" s="10"/>
      <c r="J90" s="10"/>
      <c r="K90" s="10" t="s">
        <v>447</v>
      </c>
      <c r="L90" s="10"/>
      <c r="M90" s="9">
        <v>10</v>
      </c>
    </row>
    <row r="91" spans="1:13" x14ac:dyDescent="0.25">
      <c r="A91" s="13">
        <v>90</v>
      </c>
      <c r="B91" s="13" t="s">
        <v>299</v>
      </c>
      <c r="C91" s="10" t="s">
        <v>300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/>
      <c r="L91" s="10" t="s">
        <v>301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448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284</v>
      </c>
      <c r="D93" s="10" t="s">
        <v>285</v>
      </c>
      <c r="E93" s="9"/>
      <c r="F93" s="9" t="s">
        <v>8</v>
      </c>
      <c r="G93" s="9">
        <v>1975</v>
      </c>
      <c r="H93" s="10"/>
      <c r="I93" s="10"/>
      <c r="J93" s="10"/>
      <c r="K93" s="10" t="s">
        <v>449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450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286</v>
      </c>
      <c r="D95" s="10" t="s">
        <v>287</v>
      </c>
      <c r="E95" s="9"/>
      <c r="F95" s="9" t="s">
        <v>11</v>
      </c>
      <c r="G95" s="9">
        <v>1990</v>
      </c>
      <c r="H95" s="10"/>
      <c r="I95" s="10"/>
      <c r="J95" s="10"/>
      <c r="K95" s="10" t="s">
        <v>451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316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452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288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453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454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289</v>
      </c>
      <c r="D99" s="10" t="s">
        <v>290</v>
      </c>
      <c r="E99" s="9"/>
      <c r="F99" s="9" t="s">
        <v>8</v>
      </c>
      <c r="G99" s="9">
        <v>1994</v>
      </c>
      <c r="H99" s="10"/>
      <c r="I99" s="10"/>
      <c r="J99" s="10"/>
      <c r="K99" s="10" t="s">
        <v>455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456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457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291</v>
      </c>
      <c r="D102" s="10" t="s">
        <v>292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458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459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293</v>
      </c>
      <c r="D104" s="10" t="s">
        <v>294</v>
      </c>
      <c r="E104" s="9"/>
      <c r="F104" s="9" t="s">
        <v>8</v>
      </c>
      <c r="G104" s="9">
        <v>1972</v>
      </c>
      <c r="H104" s="10"/>
      <c r="I104" s="10"/>
      <c r="J104" s="10"/>
      <c r="K104" s="10" t="s">
        <v>460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461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186</v>
      </c>
      <c r="D106" s="10" t="s">
        <v>295</v>
      </c>
      <c r="E106" s="9"/>
      <c r="F106" s="9" t="s">
        <v>11</v>
      </c>
      <c r="G106" s="9">
        <v>1983</v>
      </c>
      <c r="H106" s="10"/>
      <c r="I106" s="10"/>
      <c r="J106" s="10"/>
      <c r="K106" s="10" t="s">
        <v>462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463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296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464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465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466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467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468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469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470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471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472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473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474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475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476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299</v>
      </c>
      <c r="K121" s="6" t="s">
        <v>477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478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479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480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481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482</v>
      </c>
      <c r="L126" s="6"/>
      <c r="M126" s="6">
        <v>11</v>
      </c>
    </row>
    <row r="127" spans="1:13" x14ac:dyDescent="0.25">
      <c r="A127" s="9">
        <v>126</v>
      </c>
      <c r="B127" s="13" t="s">
        <v>302</v>
      </c>
      <c r="C127" s="9" t="s">
        <v>303</v>
      </c>
      <c r="D127" s="9" t="s">
        <v>304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483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79</v>
      </c>
      <c r="J128" s="6" t="s">
        <v>241</v>
      </c>
      <c r="K128" s="6" t="s">
        <v>484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79</v>
      </c>
      <c r="J129" s="6" t="s">
        <v>241</v>
      </c>
      <c r="K129" s="6" t="s">
        <v>485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486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487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topLeftCell="A7" workbookViewId="0">
      <selection activeCell="D30" sqref="D30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318</v>
      </c>
      <c r="B1" s="10" t="s">
        <v>319</v>
      </c>
      <c r="C1" s="10" t="s">
        <v>320</v>
      </c>
      <c r="D1" s="10" t="s">
        <v>321</v>
      </c>
      <c r="E1" s="10" t="s">
        <v>322</v>
      </c>
    </row>
    <row r="2" spans="1:5" x14ac:dyDescent="0.25">
      <c r="A2" s="7" t="s">
        <v>328</v>
      </c>
      <c r="B2" s="24" t="s">
        <v>6</v>
      </c>
      <c r="C2" s="24" t="s">
        <v>9</v>
      </c>
      <c r="D2" s="7" t="s">
        <v>333</v>
      </c>
      <c r="E2" s="7"/>
    </row>
    <row r="3" spans="1:5" x14ac:dyDescent="0.25">
      <c r="A3" s="7" t="s">
        <v>329</v>
      </c>
      <c r="B3" s="24" t="s">
        <v>12</v>
      </c>
      <c r="C3" s="24" t="s">
        <v>196</v>
      </c>
      <c r="D3" s="7" t="s">
        <v>333</v>
      </c>
      <c r="E3" s="7"/>
    </row>
    <row r="4" spans="1:5" x14ac:dyDescent="0.25">
      <c r="A4" s="7" t="s">
        <v>334</v>
      </c>
      <c r="B4" s="24" t="s">
        <v>16</v>
      </c>
      <c r="C4" s="24" t="s">
        <v>199</v>
      </c>
      <c r="D4" s="7" t="s">
        <v>333</v>
      </c>
      <c r="E4" s="7"/>
    </row>
    <row r="5" spans="1:5" x14ac:dyDescent="0.25">
      <c r="A5" s="7" t="s">
        <v>335</v>
      </c>
      <c r="B5" s="24" t="s">
        <v>22</v>
      </c>
      <c r="C5" s="24" t="s">
        <v>200</v>
      </c>
      <c r="D5" s="7" t="s">
        <v>333</v>
      </c>
      <c r="E5" s="7"/>
    </row>
    <row r="6" spans="1:5" x14ac:dyDescent="0.25">
      <c r="A6" s="7" t="s">
        <v>353</v>
      </c>
      <c r="B6" s="24" t="s">
        <v>202</v>
      </c>
      <c r="C6" s="24" t="s">
        <v>29</v>
      </c>
      <c r="D6" s="7" t="s">
        <v>333</v>
      </c>
      <c r="E6" s="7"/>
    </row>
    <row r="7" spans="1:5" x14ac:dyDescent="0.25">
      <c r="A7" s="7" t="s">
        <v>354</v>
      </c>
      <c r="B7" s="24" t="s">
        <v>31</v>
      </c>
      <c r="C7" s="24" t="str">
        <f>B7&amp;"S1"</f>
        <v>VA-6.05S1</v>
      </c>
      <c r="D7" s="7" t="s">
        <v>333</v>
      </c>
      <c r="E7" s="7"/>
    </row>
    <row r="8" spans="1:5" x14ac:dyDescent="0.25">
      <c r="A8" s="7" t="s">
        <v>355</v>
      </c>
      <c r="B8" s="24" t="s">
        <v>34</v>
      </c>
      <c r="C8" s="24" t="s">
        <v>205</v>
      </c>
      <c r="D8" s="7" t="s">
        <v>333</v>
      </c>
      <c r="E8" s="7" t="s">
        <v>336</v>
      </c>
    </row>
    <row r="9" spans="1:5" x14ac:dyDescent="0.25">
      <c r="A9" s="7" t="s">
        <v>356</v>
      </c>
      <c r="B9" s="24" t="s">
        <v>34</v>
      </c>
      <c r="C9" s="24" t="s">
        <v>310</v>
      </c>
      <c r="D9" s="7" t="s">
        <v>333</v>
      </c>
      <c r="E9" s="7" t="s">
        <v>312</v>
      </c>
    </row>
    <row r="10" spans="1:5" x14ac:dyDescent="0.25">
      <c r="A10" s="7" t="s">
        <v>357</v>
      </c>
      <c r="B10" s="24" t="s">
        <v>36</v>
      </c>
      <c r="C10" s="24" t="s">
        <v>207</v>
      </c>
      <c r="D10" s="7" t="s">
        <v>333</v>
      </c>
      <c r="E10" s="7"/>
    </row>
    <row r="11" spans="1:5" x14ac:dyDescent="0.25">
      <c r="A11" s="7" t="s">
        <v>358</v>
      </c>
      <c r="B11" s="24" t="s">
        <v>37</v>
      </c>
      <c r="C11" s="24" t="s">
        <v>208</v>
      </c>
      <c r="D11" s="7" t="s">
        <v>333</v>
      </c>
      <c r="E11" s="7"/>
    </row>
    <row r="12" spans="1:5" x14ac:dyDescent="0.25">
      <c r="A12" s="7" t="s">
        <v>359</v>
      </c>
      <c r="B12" s="24" t="s">
        <v>38</v>
      </c>
      <c r="C12" s="24" t="s">
        <v>209</v>
      </c>
      <c r="D12" s="7" t="s">
        <v>333</v>
      </c>
      <c r="E12" s="7"/>
    </row>
    <row r="13" spans="1:5" x14ac:dyDescent="0.25">
      <c r="A13" s="7" t="s">
        <v>360</v>
      </c>
      <c r="B13" s="24" t="s">
        <v>42</v>
      </c>
      <c r="C13" s="24" t="s">
        <v>212</v>
      </c>
      <c r="D13" s="7" t="s">
        <v>333</v>
      </c>
      <c r="E13" s="7"/>
    </row>
    <row r="14" spans="1:5" x14ac:dyDescent="0.25">
      <c r="A14" s="7" t="s">
        <v>361</v>
      </c>
      <c r="B14" s="24" t="s">
        <v>43</v>
      </c>
      <c r="C14" s="24" t="s">
        <v>213</v>
      </c>
      <c r="D14" s="7" t="s">
        <v>333</v>
      </c>
      <c r="E14" s="7"/>
    </row>
    <row r="15" spans="1:5" x14ac:dyDescent="0.25">
      <c r="A15" s="7" t="s">
        <v>362</v>
      </c>
      <c r="B15" s="24" t="s">
        <v>48</v>
      </c>
      <c r="C15" s="24" t="s">
        <v>217</v>
      </c>
      <c r="D15" s="7" t="s">
        <v>333</v>
      </c>
      <c r="E15" s="7"/>
    </row>
    <row r="16" spans="1:5" x14ac:dyDescent="0.25">
      <c r="A16" s="7" t="s">
        <v>363</v>
      </c>
      <c r="B16" s="24" t="s">
        <v>49</v>
      </c>
      <c r="C16" s="24" t="s">
        <v>218</v>
      </c>
      <c r="D16" s="7" t="s">
        <v>333</v>
      </c>
      <c r="E16" s="7"/>
    </row>
    <row r="17" spans="1:5" x14ac:dyDescent="0.25">
      <c r="A17" s="7" t="s">
        <v>364</v>
      </c>
      <c r="B17" s="24" t="s">
        <v>52</v>
      </c>
      <c r="C17" s="24" t="s">
        <v>221</v>
      </c>
      <c r="D17" s="7" t="s">
        <v>333</v>
      </c>
      <c r="E17" s="7"/>
    </row>
    <row r="18" spans="1:5" x14ac:dyDescent="0.25">
      <c r="A18" s="7" t="s">
        <v>365</v>
      </c>
      <c r="B18" s="24" t="s">
        <v>54</v>
      </c>
      <c r="C18" s="24" t="s">
        <v>223</v>
      </c>
      <c r="D18" s="7" t="s">
        <v>333</v>
      </c>
      <c r="E18" s="7"/>
    </row>
    <row r="19" spans="1:5" x14ac:dyDescent="0.25">
      <c r="A19" s="7" t="s">
        <v>366</v>
      </c>
      <c r="B19" s="24" t="s">
        <v>55</v>
      </c>
      <c r="C19" s="24" t="s">
        <v>224</v>
      </c>
      <c r="D19" s="7" t="s">
        <v>333</v>
      </c>
      <c r="E19" s="7"/>
    </row>
    <row r="20" spans="1:5" x14ac:dyDescent="0.25">
      <c r="A20" s="7" t="s">
        <v>367</v>
      </c>
      <c r="B20" s="24" t="s">
        <v>59</v>
      </c>
      <c r="C20" s="24" t="s">
        <v>228</v>
      </c>
      <c r="D20" s="7" t="s">
        <v>333</v>
      </c>
      <c r="E20" s="7"/>
    </row>
    <row r="21" spans="1:5" x14ac:dyDescent="0.25">
      <c r="A21" s="7" t="s">
        <v>368</v>
      </c>
      <c r="B21" s="24" t="s">
        <v>60</v>
      </c>
      <c r="C21" s="24" t="s">
        <v>229</v>
      </c>
      <c r="D21" s="7" t="s">
        <v>333</v>
      </c>
      <c r="E21" s="7"/>
    </row>
    <row r="22" spans="1:5" x14ac:dyDescent="0.25">
      <c r="A22" s="7" t="s">
        <v>369</v>
      </c>
      <c r="B22" s="24" t="s">
        <v>62</v>
      </c>
      <c r="C22" s="24" t="s">
        <v>231</v>
      </c>
      <c r="D22" s="7" t="s">
        <v>333</v>
      </c>
      <c r="E22" s="7"/>
    </row>
    <row r="23" spans="1:5" x14ac:dyDescent="0.25">
      <c r="A23" s="7" t="s">
        <v>370</v>
      </c>
      <c r="B23" s="24" t="s">
        <v>63</v>
      </c>
      <c r="C23" s="24" t="s">
        <v>232</v>
      </c>
      <c r="D23" s="7" t="s">
        <v>333</v>
      </c>
      <c r="E23" s="7"/>
    </row>
    <row r="24" spans="1:5" x14ac:dyDescent="0.25">
      <c r="A24" s="7" t="s">
        <v>371</v>
      </c>
      <c r="B24" s="24" t="s">
        <v>66</v>
      </c>
      <c r="C24" s="24" t="s">
        <v>234</v>
      </c>
      <c r="D24" s="7" t="s">
        <v>333</v>
      </c>
      <c r="E24" s="7"/>
    </row>
    <row r="25" spans="1:5" x14ac:dyDescent="0.25">
      <c r="A25" s="7" t="s">
        <v>372</v>
      </c>
      <c r="B25" s="24" t="s">
        <v>68</v>
      </c>
      <c r="C25" s="24" t="s">
        <v>235</v>
      </c>
      <c r="D25" s="7" t="s">
        <v>333</v>
      </c>
      <c r="E25" s="7" t="s">
        <v>331</v>
      </c>
    </row>
    <row r="26" spans="1:5" x14ac:dyDescent="0.25">
      <c r="A26" s="7" t="s">
        <v>373</v>
      </c>
      <c r="B26" s="24" t="s">
        <v>68</v>
      </c>
      <c r="C26" s="24" t="s">
        <v>299</v>
      </c>
      <c r="D26" s="7" t="s">
        <v>330</v>
      </c>
      <c r="E26" s="7" t="s">
        <v>332</v>
      </c>
    </row>
    <row r="27" spans="1:5" x14ac:dyDescent="0.25">
      <c r="A27" s="7" t="s">
        <v>374</v>
      </c>
      <c r="B27" s="24" t="s">
        <v>70</v>
      </c>
      <c r="C27" s="24" t="s">
        <v>237</v>
      </c>
      <c r="D27" s="7" t="s">
        <v>333</v>
      </c>
      <c r="E27" s="7"/>
    </row>
    <row r="28" spans="1:5" x14ac:dyDescent="0.25">
      <c r="A28" s="7" t="s">
        <v>375</v>
      </c>
      <c r="B28" s="24" t="s">
        <v>76</v>
      </c>
      <c r="C28" s="24" t="s">
        <v>240</v>
      </c>
      <c r="D28" s="7" t="s">
        <v>333</v>
      </c>
      <c r="E28" s="7"/>
    </row>
    <row r="29" spans="1:5" x14ac:dyDescent="0.25">
      <c r="A29" s="7" t="s">
        <v>376</v>
      </c>
      <c r="B29" s="24" t="s">
        <v>78</v>
      </c>
      <c r="C29" s="24" t="s">
        <v>242</v>
      </c>
      <c r="D29" s="7" t="s">
        <v>333</v>
      </c>
      <c r="E29" s="7"/>
    </row>
    <row r="30" spans="1:5" x14ac:dyDescent="0.25">
      <c r="A30" s="7" t="s">
        <v>377</v>
      </c>
      <c r="B30" s="24" t="s">
        <v>80</v>
      </c>
      <c r="C30" s="24" t="s">
        <v>243</v>
      </c>
      <c r="D30" s="7" t="s">
        <v>333</v>
      </c>
      <c r="E30" s="7"/>
    </row>
    <row r="31" spans="1:5" x14ac:dyDescent="0.25">
      <c r="A31" s="7" t="s">
        <v>378</v>
      </c>
      <c r="B31" s="24" t="s">
        <v>302</v>
      </c>
      <c r="C31" s="24" t="s">
        <v>108</v>
      </c>
      <c r="D31" s="7" t="s">
        <v>333</v>
      </c>
      <c r="E31" s="7" t="s">
        <v>331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D10" sqref="D10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30" t="s">
        <v>323</v>
      </c>
      <c r="B1" s="30" t="s">
        <v>324</v>
      </c>
      <c r="C1" s="30" t="s">
        <v>382</v>
      </c>
      <c r="D1" s="30" t="s">
        <v>325</v>
      </c>
      <c r="E1" s="25" t="s">
        <v>380</v>
      </c>
      <c r="F1" s="25" t="s">
        <v>530</v>
      </c>
    </row>
    <row r="2" spans="1:6" x14ac:dyDescent="0.25">
      <c r="A2" s="7" t="s">
        <v>6</v>
      </c>
      <c r="B2" s="7" t="s">
        <v>326</v>
      </c>
      <c r="C2" s="7" t="s">
        <v>379</v>
      </c>
      <c r="D2" s="7" t="s">
        <v>494</v>
      </c>
      <c r="E2" s="7" t="s">
        <v>381</v>
      </c>
      <c r="F2" s="7">
        <v>1</v>
      </c>
    </row>
    <row r="3" spans="1:6" x14ac:dyDescent="0.25">
      <c r="A3" s="7" t="s">
        <v>9</v>
      </c>
      <c r="B3" s="7" t="s">
        <v>326</v>
      </c>
      <c r="C3" s="26" t="s">
        <v>492</v>
      </c>
      <c r="D3" s="7" t="s">
        <v>493</v>
      </c>
      <c r="E3" s="7" t="s">
        <v>381</v>
      </c>
      <c r="F3" s="7">
        <v>2</v>
      </c>
    </row>
    <row r="4" spans="1:6" x14ac:dyDescent="0.25">
      <c r="A4" s="29" t="s">
        <v>34</v>
      </c>
      <c r="B4" s="7" t="s">
        <v>326</v>
      </c>
      <c r="C4" s="26" t="s">
        <v>534</v>
      </c>
      <c r="D4" s="7" t="s">
        <v>535</v>
      </c>
      <c r="E4" s="7" t="s">
        <v>381</v>
      </c>
      <c r="F4" s="7">
        <v>3</v>
      </c>
    </row>
    <row r="5" spans="1:6" x14ac:dyDescent="0.25">
      <c r="A5" s="24" t="s">
        <v>22</v>
      </c>
      <c r="B5" s="7" t="s">
        <v>326</v>
      </c>
      <c r="C5" s="7" t="s">
        <v>528</v>
      </c>
      <c r="D5" s="7" t="s">
        <v>529</v>
      </c>
      <c r="E5" s="7" t="s">
        <v>381</v>
      </c>
      <c r="F5" s="7">
        <v>4</v>
      </c>
    </row>
    <row r="6" spans="1:6" x14ac:dyDescent="0.25">
      <c r="A6" s="7" t="s">
        <v>31</v>
      </c>
      <c r="B6" s="7" t="s">
        <v>326</v>
      </c>
      <c r="C6" s="7" t="s">
        <v>503</v>
      </c>
      <c r="D6" s="7" t="s">
        <v>504</v>
      </c>
      <c r="E6" s="7" t="s">
        <v>381</v>
      </c>
      <c r="F6" s="7">
        <v>5</v>
      </c>
    </row>
    <row r="7" spans="1:6" x14ac:dyDescent="0.25">
      <c r="A7" s="29" t="s">
        <v>205</v>
      </c>
      <c r="B7" s="7" t="s">
        <v>522</v>
      </c>
      <c r="C7" s="7" t="s">
        <v>523</v>
      </c>
      <c r="D7" s="7" t="s">
        <v>524</v>
      </c>
      <c r="E7" s="7" t="s">
        <v>381</v>
      </c>
      <c r="F7" s="7">
        <v>6</v>
      </c>
    </row>
    <row r="8" spans="1:6" x14ac:dyDescent="0.25">
      <c r="A8" s="7" t="s">
        <v>36</v>
      </c>
      <c r="B8" s="7" t="s">
        <v>326</v>
      </c>
      <c r="C8" s="7" t="s">
        <v>384</v>
      </c>
      <c r="D8" s="7" t="s">
        <v>511</v>
      </c>
      <c r="E8" s="7" t="s">
        <v>381</v>
      </c>
      <c r="F8" s="7">
        <v>7</v>
      </c>
    </row>
    <row r="9" spans="1:6" x14ac:dyDescent="0.25">
      <c r="A9" s="7" t="s">
        <v>207</v>
      </c>
      <c r="B9" s="7" t="s">
        <v>326</v>
      </c>
      <c r="C9" s="26" t="s">
        <v>383</v>
      </c>
      <c r="D9" s="7" t="s">
        <v>491</v>
      </c>
      <c r="E9" s="7" t="s">
        <v>381</v>
      </c>
      <c r="F9" s="7">
        <v>8</v>
      </c>
    </row>
    <row r="10" spans="1:6" x14ac:dyDescent="0.25">
      <c r="A10" s="7" t="s">
        <v>49</v>
      </c>
      <c r="B10" s="7" t="s">
        <v>326</v>
      </c>
      <c r="C10" s="7" t="s">
        <v>385</v>
      </c>
      <c r="D10" s="7" t="s">
        <v>506</v>
      </c>
      <c r="E10" s="7" t="s">
        <v>381</v>
      </c>
      <c r="F10" s="7">
        <v>9</v>
      </c>
    </row>
    <row r="11" spans="1:6" x14ac:dyDescent="0.25">
      <c r="A11" s="7" t="s">
        <v>48</v>
      </c>
      <c r="B11" s="7" t="s">
        <v>326</v>
      </c>
      <c r="C11" s="7" t="s">
        <v>386</v>
      </c>
      <c r="D11" s="7" t="s">
        <v>519</v>
      </c>
      <c r="E11" s="7" t="s">
        <v>381</v>
      </c>
      <c r="F11" s="7">
        <v>10</v>
      </c>
    </row>
    <row r="12" spans="1:6" x14ac:dyDescent="0.25">
      <c r="A12" s="7" t="s">
        <v>65</v>
      </c>
      <c r="B12" s="7" t="s">
        <v>326</v>
      </c>
      <c r="C12" s="7" t="s">
        <v>327</v>
      </c>
      <c r="D12" s="7" t="s">
        <v>505</v>
      </c>
      <c r="E12" s="7" t="s">
        <v>381</v>
      </c>
      <c r="F12" s="7">
        <v>11</v>
      </c>
    </row>
    <row r="13" spans="1:6" x14ac:dyDescent="0.25">
      <c r="A13" s="7" t="s">
        <v>42</v>
      </c>
      <c r="B13" s="7" t="s">
        <v>326</v>
      </c>
      <c r="C13" s="7" t="s">
        <v>490</v>
      </c>
      <c r="D13" s="7" t="s">
        <v>508</v>
      </c>
      <c r="E13" s="7" t="s">
        <v>381</v>
      </c>
      <c r="F13" s="7">
        <v>12</v>
      </c>
    </row>
    <row r="14" spans="1:6" x14ac:dyDescent="0.25">
      <c r="A14" s="7" t="s">
        <v>200</v>
      </c>
      <c r="B14" s="7" t="s">
        <v>326</v>
      </c>
      <c r="C14" s="7" t="s">
        <v>495</v>
      </c>
      <c r="D14" s="7" t="s">
        <v>496</v>
      </c>
      <c r="E14" s="7" t="s">
        <v>381</v>
      </c>
      <c r="F14" s="7">
        <v>13</v>
      </c>
    </row>
    <row r="15" spans="1:6" x14ac:dyDescent="0.25">
      <c r="A15" s="24" t="s">
        <v>41</v>
      </c>
      <c r="B15" s="7" t="s">
        <v>326</v>
      </c>
      <c r="C15" s="7" t="s">
        <v>507</v>
      </c>
      <c r="D15" s="7" t="s">
        <v>518</v>
      </c>
      <c r="E15" s="7" t="s">
        <v>381</v>
      </c>
      <c r="F15" s="7">
        <v>14</v>
      </c>
    </row>
    <row r="16" spans="1:6" x14ac:dyDescent="0.25">
      <c r="A16" s="7" t="s">
        <v>310</v>
      </c>
      <c r="B16" s="7" t="s">
        <v>326</v>
      </c>
      <c r="C16" s="7" t="s">
        <v>533</v>
      </c>
      <c r="D16" s="7" t="s">
        <v>532</v>
      </c>
      <c r="E16" s="7" t="s">
        <v>381</v>
      </c>
      <c r="F16" s="7">
        <v>15</v>
      </c>
    </row>
    <row r="17" spans="1:6" x14ac:dyDescent="0.25">
      <c r="A17" s="24" t="s">
        <v>38</v>
      </c>
      <c r="B17" s="7" t="s">
        <v>326</v>
      </c>
      <c r="C17" s="26" t="s">
        <v>509</v>
      </c>
      <c r="D17" s="7" t="s">
        <v>510</v>
      </c>
      <c r="E17" s="7" t="s">
        <v>381</v>
      </c>
      <c r="F17" s="7">
        <v>16</v>
      </c>
    </row>
    <row r="18" spans="1:6" x14ac:dyDescent="0.25">
      <c r="A18" s="24" t="s">
        <v>37</v>
      </c>
      <c r="B18" s="7" t="s">
        <v>326</v>
      </c>
      <c r="C18" s="7" t="s">
        <v>512</v>
      </c>
      <c r="D18" s="7" t="s">
        <v>513</v>
      </c>
      <c r="E18" s="7" t="s">
        <v>381</v>
      </c>
      <c r="F18" s="7">
        <v>17</v>
      </c>
    </row>
    <row r="19" spans="1:6" x14ac:dyDescent="0.25">
      <c r="A19" s="24" t="s">
        <v>208</v>
      </c>
      <c r="B19" s="7" t="s">
        <v>326</v>
      </c>
      <c r="C19" s="7" t="s">
        <v>514</v>
      </c>
      <c r="D19" s="7" t="s">
        <v>517</v>
      </c>
      <c r="E19" s="7" t="s">
        <v>381</v>
      </c>
      <c r="F19" s="7">
        <v>18</v>
      </c>
    </row>
    <row r="20" spans="1:6" x14ac:dyDescent="0.25">
      <c r="A20" s="24" t="s">
        <v>213</v>
      </c>
      <c r="B20" s="7" t="s">
        <v>326</v>
      </c>
      <c r="C20" s="7" t="s">
        <v>515</v>
      </c>
      <c r="D20" s="7" t="s">
        <v>516</v>
      </c>
      <c r="E20" s="7" t="s">
        <v>381</v>
      </c>
      <c r="F20" s="7">
        <v>19</v>
      </c>
    </row>
    <row r="21" spans="1:6" x14ac:dyDescent="0.25">
      <c r="A21" s="14" t="s">
        <v>203</v>
      </c>
      <c r="B21" s="27" t="s">
        <v>326</v>
      </c>
      <c r="C21" s="28" t="s">
        <v>540</v>
      </c>
      <c r="D21" s="27" t="s">
        <v>541</v>
      </c>
      <c r="E21" s="7" t="s">
        <v>381</v>
      </c>
      <c r="F21" s="27">
        <v>20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323</v>
      </c>
      <c r="B1" t="s">
        <v>337</v>
      </c>
      <c r="C1" t="s">
        <v>338</v>
      </c>
      <c r="D1" t="s">
        <v>339</v>
      </c>
      <c r="E1" t="s">
        <v>340</v>
      </c>
    </row>
    <row r="2" spans="1:5" x14ac:dyDescent="0.25">
      <c r="A2" t="s">
        <v>68</v>
      </c>
      <c r="B2" s="23" t="s">
        <v>349</v>
      </c>
      <c r="C2" t="s">
        <v>350</v>
      </c>
      <c r="D2" t="s">
        <v>351</v>
      </c>
      <c r="E2" t="s">
        <v>352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16"/>
  <sheetViews>
    <sheetView tabSelected="1" workbookViewId="0">
      <selection activeCell="E17" sqref="E17"/>
    </sheetView>
  </sheetViews>
  <sheetFormatPr defaultRowHeight="15" x14ac:dyDescent="0.25"/>
  <cols>
    <col min="1" max="1" width="10" bestFit="1" customWidth="1"/>
    <col min="2" max="2" width="10" customWidth="1"/>
    <col min="3" max="3" width="57.42578125" customWidth="1"/>
    <col min="4" max="4" width="20" customWidth="1"/>
    <col min="5" max="5" width="9.5703125" bestFit="1" customWidth="1"/>
  </cols>
  <sheetData>
    <row r="1" spans="1:5" x14ac:dyDescent="0.25">
      <c r="A1" t="s">
        <v>344</v>
      </c>
      <c r="B1" t="s">
        <v>387</v>
      </c>
      <c r="C1" t="s">
        <v>345</v>
      </c>
      <c r="D1" t="s">
        <v>388</v>
      </c>
      <c r="E1" t="s">
        <v>346</v>
      </c>
    </row>
    <row r="2" spans="1:5" x14ac:dyDescent="0.25">
      <c r="A2" t="s">
        <v>68</v>
      </c>
      <c r="B2" t="s">
        <v>389</v>
      </c>
      <c r="C2" s="6" t="s">
        <v>544</v>
      </c>
      <c r="D2" t="s">
        <v>547</v>
      </c>
      <c r="E2" t="s">
        <v>347</v>
      </c>
    </row>
    <row r="3" spans="1:5" x14ac:dyDescent="0.25">
      <c r="A3" t="s">
        <v>68</v>
      </c>
      <c r="B3" t="s">
        <v>389</v>
      </c>
      <c r="C3" s="6" t="s">
        <v>446</v>
      </c>
      <c r="D3" t="s">
        <v>390</v>
      </c>
      <c r="E3" t="s">
        <v>348</v>
      </c>
    </row>
    <row r="4" spans="1:5" x14ac:dyDescent="0.25">
      <c r="A4" t="s">
        <v>68</v>
      </c>
      <c r="B4" t="s">
        <v>389</v>
      </c>
      <c r="C4" s="6" t="s">
        <v>543</v>
      </c>
      <c r="D4" t="s">
        <v>546</v>
      </c>
      <c r="E4" t="s">
        <v>347</v>
      </c>
    </row>
    <row r="5" spans="1:5" x14ac:dyDescent="0.25">
      <c r="A5" t="s">
        <v>66</v>
      </c>
      <c r="B5" t="s">
        <v>389</v>
      </c>
      <c r="C5" s="6" t="s">
        <v>444</v>
      </c>
      <c r="D5" t="s">
        <v>390</v>
      </c>
      <c r="E5" t="s">
        <v>348</v>
      </c>
    </row>
    <row r="6" spans="1:5" x14ac:dyDescent="0.25">
      <c r="A6" t="s">
        <v>42</v>
      </c>
      <c r="B6" t="s">
        <v>389</v>
      </c>
      <c r="C6" s="6" t="s">
        <v>488</v>
      </c>
      <c r="D6" t="s">
        <v>489</v>
      </c>
      <c r="E6" t="s">
        <v>347</v>
      </c>
    </row>
    <row r="7" spans="1:5" x14ac:dyDescent="0.25">
      <c r="A7" t="s">
        <v>68</v>
      </c>
      <c r="B7" t="s">
        <v>389</v>
      </c>
      <c r="C7" s="6" t="s">
        <v>548</v>
      </c>
      <c r="D7" t="s">
        <v>546</v>
      </c>
      <c r="E7" t="s">
        <v>347</v>
      </c>
    </row>
    <row r="8" spans="1:5" x14ac:dyDescent="0.25">
      <c r="A8" t="s">
        <v>68</v>
      </c>
      <c r="B8" t="s">
        <v>389</v>
      </c>
      <c r="C8" s="6" t="s">
        <v>545</v>
      </c>
      <c r="D8" t="s">
        <v>546</v>
      </c>
      <c r="E8" t="s">
        <v>347</v>
      </c>
    </row>
    <row r="9" spans="1:5" x14ac:dyDescent="0.25">
      <c r="A9" s="5" t="s">
        <v>60</v>
      </c>
      <c r="B9" t="s">
        <v>389</v>
      </c>
      <c r="C9" s="6" t="s">
        <v>551</v>
      </c>
      <c r="D9" t="s">
        <v>552</v>
      </c>
      <c r="E9" t="s">
        <v>347</v>
      </c>
    </row>
    <row r="10" spans="1:5" x14ac:dyDescent="0.25">
      <c r="A10" s="5" t="s">
        <v>55</v>
      </c>
      <c r="B10" t="s">
        <v>389</v>
      </c>
      <c r="C10" s="6" t="s">
        <v>549</v>
      </c>
      <c r="D10" t="s">
        <v>550</v>
      </c>
      <c r="E10" t="s">
        <v>347</v>
      </c>
    </row>
    <row r="11" spans="1:5" x14ac:dyDescent="0.25">
      <c r="A11" s="5" t="s">
        <v>55</v>
      </c>
      <c r="B11" t="s">
        <v>389</v>
      </c>
      <c r="C11" s="6" t="s">
        <v>555</v>
      </c>
      <c r="D11" t="s">
        <v>558</v>
      </c>
      <c r="E11" t="s">
        <v>347</v>
      </c>
    </row>
    <row r="12" spans="1:5" x14ac:dyDescent="0.25">
      <c r="A12" s="5" t="s">
        <v>55</v>
      </c>
      <c r="B12" t="s">
        <v>389</v>
      </c>
      <c r="C12" s="6" t="s">
        <v>556</v>
      </c>
      <c r="D12" t="s">
        <v>557</v>
      </c>
      <c r="E12" t="s">
        <v>347</v>
      </c>
    </row>
    <row r="13" spans="1:5" x14ac:dyDescent="0.25">
      <c r="A13" s="31" t="s">
        <v>34</v>
      </c>
      <c r="B13" t="s">
        <v>389</v>
      </c>
      <c r="C13" s="32" t="s">
        <v>566</v>
      </c>
      <c r="D13" t="s">
        <v>559</v>
      </c>
      <c r="E13" t="s">
        <v>347</v>
      </c>
    </row>
    <row r="14" spans="1:5" x14ac:dyDescent="0.25">
      <c r="A14" s="31" t="s">
        <v>34</v>
      </c>
      <c r="B14" t="s">
        <v>389</v>
      </c>
      <c r="C14" s="33" t="s">
        <v>560</v>
      </c>
      <c r="D14" t="s">
        <v>563</v>
      </c>
      <c r="E14" t="s">
        <v>347</v>
      </c>
    </row>
    <row r="15" spans="1:5" x14ac:dyDescent="0.25">
      <c r="A15" s="31" t="s">
        <v>34</v>
      </c>
      <c r="B15" t="s">
        <v>389</v>
      </c>
      <c r="C15" s="33" t="s">
        <v>561</v>
      </c>
      <c r="D15" t="s">
        <v>564</v>
      </c>
      <c r="E15" t="s">
        <v>347</v>
      </c>
    </row>
    <row r="16" spans="1:5" x14ac:dyDescent="0.25">
      <c r="A16" s="31" t="s">
        <v>34</v>
      </c>
      <c r="B16" t="s">
        <v>389</v>
      </c>
      <c r="C16" s="33" t="s">
        <v>562</v>
      </c>
      <c r="D16" t="s">
        <v>565</v>
      </c>
      <c r="E16" t="s">
        <v>348</v>
      </c>
    </row>
  </sheetData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2026-08-19T12:54:55Z</dcterms:modified>
</cp:coreProperties>
</file>