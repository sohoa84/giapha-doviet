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8439511A-58E8-49AD-B994-EC125E2EEFF3}" xr6:coauthVersionLast="47" xr6:coauthVersionMax="47" xr10:uidLastSave="{00000000-0000-0000-0000-000000000000}"/>
  <bookViews>
    <workbookView xWindow="-120" yWindow="-120" windowWidth="29040" windowHeight="15720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EVENTS!$A$1:$E$1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<sst xmlns="http://schemas.openxmlformats.org/spreadsheetml/2006/main" count="1009" uniqueCount="508">
  <si>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</si>
  <si>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</si>
  <si>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</si>
  <si>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</si>
  <si>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</si>
  <si>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</si>
  <si>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</si>
  <si>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</si>
  <si>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</si>
  <si>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</si>
  <si>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</si>
  <si>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</si>
  <si>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</si>
  <si>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</si>
  <si>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</si>
  <si>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</si>
  <si>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</si>
  <si>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</si>
  <si>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</si>
  <si>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</si>
  <si>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</si>
  <si>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</si>
  <si>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</si>
  <si>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</si>
  <si>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</si>
  <si>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</si>
  <si>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</si>
  <si>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</si>
  <si>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</si>
  <si>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</si>
  <si>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</si>
  <si>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</si>
  <si>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</si>
  <si>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</si>
  <si>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</si>
  <si>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</si>
  <si>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</si>
  <si>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</si>
  <si>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</si>
  <si>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</si>
  <si>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</si>
  <si>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</si>
  <si>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</si>
  <si>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</si>
  <si>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</si>
  <si>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</si>
  <si>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</si>
  <si>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</si>
  <si>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</si>
  <si>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</si>
  <si>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</si>
  <si>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</si>
  <si>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</si>
  <si>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</si>
  <si>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</si>
  <si>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</si>
  <si>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</si>
  <si>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</si>
  <si>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</si>
  <si>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</si>
  <si>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</si>
  <si>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</si>
  <si>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</si>
  <si>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</si>
  <si>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</si>
  <si>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</si>
  <si>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</si>
  <si>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</si>
  <si>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</si>
  <si>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</si>
  <si>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</si>
  <si>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</si>
  <si>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</si>
  <si>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</si>
  <si>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</si>
  <si>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</si>
  <si>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</si>
  <si>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</si>
  <si>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</si>
  <si>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</si>
  <si>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</si>
  <si>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</si>
  <si>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</si>
  <si>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</si>
  <si>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</si>
  <si>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</si>
  <si>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</si>
  <si>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</si>
  <si>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</si>
  <si>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</si>
  <si>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</si>
  <si>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</si>
  <si>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</si>
  <si>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</si>
  <si>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</si>
  <si>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</si>
  <si>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</si>
  <si>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</si>
  <si>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</si>
  <si>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</si>
  <si>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</si>
  <si>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</si>
  <si>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</si>
  <si>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</si>
  <si>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</si>
  <si>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</si>
  <si>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</si>
  <si>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</si>
  <si>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</si>
  <si>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</si>
  <si>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</si>
  <si>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</si>
  <si>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</si>
  <si>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</si>
  <si>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</si>
  <si>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</si>
  <si>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</si>
  <si>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</si>
  <si>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</si>
  <si>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</si>
  <si>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</si>
  <si>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</si>
  <si>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</si>
  <si>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</si>
  <si>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</si>
  <si>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</si>
  <si>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</si>
  <si>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</si>
  <si>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</si>
  <si>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</si>
  <si>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</si>
  <si>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</si>
  <si>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</si>
  <si>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</si>
  <si>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</si>
  <si>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</si>
  <si>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</si>
  <si>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</si>
  <si>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</si>
  <si>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</si>
  <si>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</si>
  <si>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</si>
  <si>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</si>
  <si>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</si>
  <si>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</si>
  <si>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</si>
  <si>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</si>
  <si>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</si>
  <si>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</si>
  <si>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</si>
  <si>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</si>
  <si>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</si>
  <si>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</si>
  <si>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</si>
  <si>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</si>
  <si>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</si>
  <si>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</si>
  <si>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</si>
  <si>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</si>
  <si>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</si>
  <si>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</si>
  <si>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</si>
  <si>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</si>
  <si>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</si>
  <si>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</si>
  <si>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</si>
  <si>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</si>
  <si>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</si>
  <si>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</si>
  <si>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</si>
  <si>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</si>
  <si>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</si>
  <si>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</si>
  <si>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</si>
  <si>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</si>
  <si>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</si>
  <si>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</si>
  <si>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</si>
  <si>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</si>
  <si>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</si>
  <si>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</si>
  <si>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</si>
  <si>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</si>
  <si>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</si>
  <si>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</si>
  <si>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</si>
  <si>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</si>
  <si>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</si>
  <si>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</si>
  <si>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</si>
  <si>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</si>
  <si>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</si>
  <si>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</si>
  <si>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</si>
  <si>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</si>
  <si>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</si>
  <si>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</si>
  <si>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</si>
  <si>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</si>
  <si>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</si>
  <si>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</si>
  <si>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</si>
  <si>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</si>
  <si>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</si>
  <si>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</si>
  <si>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</si>
  <si>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</si>
  <si>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</si>
  <si>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</si>
  <si>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</si>
  <si>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</si>
  <si>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</si>
  <si>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</si>
  <si>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</si>
  <si>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</si>
  <si>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</si>
  <si>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</si>
  <si>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</si>
  <si>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</si>
  <si>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</si>
  <si>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</si>
  <si>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</si>
  <si>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</si>
  <si>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</si>
  <si>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</si>
  <si>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</si>
  <si>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</si>
  <si>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</si>
  <si>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</si>
  <si>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</si>
  <si>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</si>
  <si>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</si>
  <si>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</si>
  <si>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</si>
  <si>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</si>
  <si>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</si>
  <si>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</si>
  <si>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</si>
  <si>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</si>
  <si>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</si>
  <si>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</si>
  <si>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</si>
  <si>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</si>
  <si>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</si>
  <si>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</si>
  <si>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</si>
  <si>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</si>
  <si>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</si>
  <si>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Vẹt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</si>
  <si>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</si>
  <si>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</si>
  <si>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</si>
  <si>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</si>
  <si>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</si>
  <si>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</si>
  <si>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</si>
  <si>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</si>
  <si>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</si>
  <si>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</si>
  <si>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</si>
  <si>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</si>
  <si>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</si>
  <si>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</si>
  <si>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</si>
  <si>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</si>
  <si>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</si>
  <si>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</si>
  <si>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</si>
  <si>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</si>
  <si>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</si>
  <si>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</si>
  <si>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</si>
  <si>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</si>
  <si>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</si>
  <si>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</si>
  <si>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</si>
  <si>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</si>
  <si>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</si>
  <si>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</si>
  <si>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</si>
  <si>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</si>
  <si>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</si>
  <si>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</si>
  <si>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</si>
  <si>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</si>
  <si>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</si>
  <si>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</si>
  <si>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</si>
  <si>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</si>
  <si>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</si>
  <si>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</si>
  <si>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</si>
  <si>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</si>
  <si>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</si>
  <si>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</si>
  <si>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</si>
  <si>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</si>
  <si>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</si>
  <si>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</si>
  <si>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</si>
  <si>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</si>
  <si>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</si>
  <si>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</si>
  <si>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Bà Lễ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</si>
  <si>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</si>
  <si>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</si>
  <si>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</si>
  <si>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</si>
  <si>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</si>
  <si>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</si>
  <si>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</si>
  <si>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</si>
  <si>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</si>
  <si>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</si>
  <si>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</si>
  <si>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>vợ 2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</si>
  <si>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</si>
  <si>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</si>
  <si>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</si>
  <si>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</si>
  <si>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</si>
  <si>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</si>
  <si>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</si>
  <si>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</si>
  <si>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</si>
  <si>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</si>
  <si>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</si>
  <si>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</si>
  <si>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</si>
  <si>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</si>
  <si>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17/11</t>
  </si>
  <si>
    <t>17/11 âm lịch</t>
  </si>
  <si>
    <t>23/07</t>
  </si>
  <si>
    <t>23/07 âm lịch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</si>
  <si>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</si>
  <si>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</si>
  <si>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</si>
  <si>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</si>
  <si>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</si>
  <si>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</si>
  <si>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</si>
  <si>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</si>
  <si>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</si>
  <si>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</si>
  <si>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</si>
  <si>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</si>
  <si>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</si>
  <si>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</si>
  <si>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</si>
  <si>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</si>
  <si>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</si>
  <si>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</si>
  <si>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</si>
  <si>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avatar.jpg</t>
  </si>
  <si>
    <t>public</t>
  </si>
  <si>
    <t>private</t>
  </si>
  <si>
    <t>avatar2.jpg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</si>
  <si>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</si>
  <si>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</si>
  <si>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</si>
  <si>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</si>
  <si>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</si>
  <si>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</si>
  <si>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</si>
  <si>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</si>
  <si>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</si>
  <si>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</si>
  <si>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</si>
  <si>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</si>
  <si>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</si>
  <si>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</si>
  <si>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</si>
  <si>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</si>
  <si>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</si>
  <si>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</si>
  <si>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</si>
  <si>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</si>
  <si>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</si>
  <si>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</si>
  <si>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</si>
  <si>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</si>
  <si>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</si>
  <si>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</si>
  <si>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</si>
  <si>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</si>
  <si>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</si>
  <si>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</si>
  <si>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</si>
  <si>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Giỗ cụ thuỷ tổ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</si>
  <si>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</si>
  <si>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</si>
  <si>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</si>
  <si>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</si>
  <si>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</si>
  <si>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</si>
  <si>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</si>
  <si>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Mất 28/08/2015 thọ 68 tuổi</t>
  </si>
  <si>
    <t>Mất 15/07/2021 thọ 66 tuổi</t>
  </si>
  <si>
    <t>Mất 15/11/2014 thọ 89 tuổi</t>
  </si>
  <si>
    <t>mất 04/10/1998 thọ 77 tuổi</t>
  </si>
  <si>
    <t>Type</t>
  </si>
  <si>
    <t>Caption</t>
  </si>
  <si>
    <t>image</t>
  </si>
  <si>
    <t>chân dung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</si>
  <si>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</si>
  <si>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</si>
  <si>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</si>
  <si>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</si>
  <si>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</si>
  <si>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</si>
  <si>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</si>
  <si>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</si>
  <si>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</si>
  <si>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</si>
  <si>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</si>
  <si>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images/persons/VA-8.05S1.jpg</t>
  </si>
  <si>
    <t>images/persons/VA-8.06.jpg</t>
  </si>
  <si>
    <t>images/persons/VA-8.07.jpg</t>
  </si>
  <si>
    <t>images/persons/VA-8.07S1.jpg</t>
  </si>
  <si>
    <t>images/persons/VA-8.08.jpg</t>
  </si>
  <si>
    <t>images/persons/VA-8.08S1.jpg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</si>
  <si>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</si>
  <si>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</si>
  <si>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</si>
  <si>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</si>
  <si>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</si>
  <si>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</si>
  <si>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</si>
  <si>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</si>
  <si>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</si>
  <si>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</si>
  <si>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</si>
  <si>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</si>
  <si>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</si>
  <si>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</si>
  <si>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</si>
  <si>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</si>
  <si>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</si>
  <si>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</si>
  <si>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</si>
  <si>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</si>
  <si>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</si>
  <si>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</si>
  <si>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</si>
  <si>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</si>
  <si>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</si>
  <si>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</si>
  <si>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</si>
  <si>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</si>
  <si>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</si>
  <si>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</si>
  <si>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</si>
  <si>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</si>
  <si>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</si>
  <si>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</si>
  <si>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images/persons/VA-9.16S1.jpg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</si>
  <si>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</si>
  <si>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</si>
  <si>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</si>
  <si>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</si>
  <si>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</si>
  <si>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</si>
  <si>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images/persons/VA-9.20.jpg</t>
  </si>
  <si>
    <t>images/persons/VA-10.01.jpg</t>
  </si>
  <si>
    <t>images/persons/VA-10.01S1.jpg</t>
  </si>
  <si>
    <t>images/persons/VA-10.02.jpg</t>
  </si>
  <si>
    <t>images/persons/VA-10.02S1.jpg</t>
  </si>
  <si>
    <t>images/persons/VA-10.02S2.jpg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</si>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</sst>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2" xfId="0" applyFill="1" applyBorder="1"/>
    <xf numFmtId="0" fontId="0" fillId="10" borderId="4" xfId="0" applyFill="1" applyBorder="1"/>
    <xf numFmtId="16" fontId="0" fillId="0" borderId="2" xfId="0" quotePrefix="1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tabSelected="1" topLeftCell="A25" workbookViewId="0">
      <selection activeCell="N25" sqref="N1:N1048576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348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349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/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/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/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/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/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309</v>
      </c>
      <c r="F7" s="17" t="s">
        <v>11</v>
      </c>
      <c r="G7" s="19"/>
      <c r="H7" s="18"/>
      <c r="I7" s="18"/>
      <c r="J7" s="18"/>
      <c r="K7" s="18"/>
      <c r="L7" s="18"/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/>
      <c r="I8" s="2" t="s">
        <v>6</v>
      </c>
      <c r="J8" s="2" t="s">
        <v>9</v>
      </c>
      <c r="K8" s="2"/>
      <c r="L8" s="2"/>
      <c r="M8" s="2">
        <v>5</v>
      </c>
    </row>
    <row r="9" spans="1:13" x14ac:dyDescent="0.25">
      <c r="A9" s="19">
        <v>8</v>
      </c>
      <c r="B9" s="14" t="s">
        <v>199</v>
      </c>
      <c r="C9" s="18" t="s">
        <v>298</v>
      </c>
      <c r="D9" s="18" t="s">
        <v>299</v>
      </c>
      <c r="E9" s="19"/>
      <c r="F9" s="17" t="s">
        <v>11</v>
      </c>
      <c r="G9" s="19"/>
      <c r="H9" s="18"/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/>
      <c r="I10" s="2" t="s">
        <v>6</v>
      </c>
      <c r="J10" s="2" t="s">
        <v>9</v>
      </c>
      <c r="K10" s="2"/>
      <c r="L10" s="2" t="s">
        <v>308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/>
      <c r="I11" s="2" t="s">
        <v>6</v>
      </c>
      <c r="J11" s="2" t="s">
        <v>9</v>
      </c>
      <c r="K11" s="2"/>
      <c r="L11" s="2" t="s">
        <v>308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/>
      <c r="I12" s="2" t="s">
        <v>6</v>
      </c>
      <c r="J12" s="2" t="s">
        <v>9</v>
      </c>
      <c r="K12" s="2"/>
      <c r="L12" s="2"/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310</v>
      </c>
      <c r="F13" s="17" t="s">
        <v>11</v>
      </c>
      <c r="G13" s="19"/>
      <c r="H13" s="18"/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/>
      <c r="I14" s="2" t="s">
        <v>12</v>
      </c>
      <c r="J14" s="2" t="s">
        <v>196</v>
      </c>
      <c r="K14" s="2"/>
      <c r="L14" s="2" t="s">
        <v>308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/>
      <c r="I15" s="2" t="s">
        <v>12</v>
      </c>
      <c r="J15" s="2" t="s">
        <v>196</v>
      </c>
      <c r="K15" s="2"/>
      <c r="L15" s="2" t="s">
        <v>308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/>
      <c r="I16" s="2" t="s">
        <v>12</v>
      </c>
      <c r="J16" s="2" t="s">
        <v>196</v>
      </c>
      <c r="K16" s="2"/>
      <c r="L16" s="2" t="s">
        <v>311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/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/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298</v>
      </c>
      <c r="D19" s="18" t="s">
        <v>299</v>
      </c>
      <c r="E19" s="19"/>
      <c r="F19" s="17" t="s">
        <v>11</v>
      </c>
      <c r="G19" s="19"/>
      <c r="H19" s="18"/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/>
      <c r="F20" s="2" t="s">
        <v>8</v>
      </c>
      <c r="G20" s="2"/>
      <c r="H20" s="2"/>
      <c r="I20" s="2" t="s">
        <v>22</v>
      </c>
      <c r="J20" s="2" t="s">
        <v>200</v>
      </c>
      <c r="K20" s="2"/>
      <c r="L20" s="2"/>
      <c r="M20" s="2">
        <v>6</v>
      </c>
    </row>
    <row r="21" spans="1:13" x14ac:dyDescent="0.25">
      <c r="A21" s="19">
        <v>20</v>
      </c>
      <c r="B21" s="14" t="s">
        <v>203</v>
      </c>
      <c r="C21" s="18" t="s">
        <v>175</v>
      </c>
      <c r="D21" s="18" t="s">
        <v>248</v>
      </c>
      <c r="E21" s="19"/>
      <c r="F21" s="17" t="s">
        <v>11</v>
      </c>
      <c r="G21" s="19"/>
      <c r="H21" s="18"/>
      <c r="I21" s="18"/>
      <c r="J21" s="18"/>
      <c r="K21" s="18"/>
      <c r="L21" s="18"/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307</v>
      </c>
      <c r="E22" s="2"/>
      <c r="F22" s="2" t="s">
        <v>8</v>
      </c>
      <c r="G22" s="2"/>
      <c r="H22" s="2"/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249</v>
      </c>
      <c r="D23" s="18" t="s">
        <v>77</v>
      </c>
      <c r="E23" s="19"/>
      <c r="F23" s="17" t="s">
        <v>11</v>
      </c>
      <c r="G23" s="19"/>
      <c r="H23" s="18"/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/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/>
      <c r="F25" s="2" t="s">
        <v>8</v>
      </c>
      <c r="G25" s="2"/>
      <c r="H25" s="2"/>
      <c r="I25" s="2" t="s">
        <v>31</v>
      </c>
      <c r="J25" s="2" t="str">
        <f>I25&amp;"S1"</f>
        <v>VA-6.05S1</v>
      </c>
      <c r="K25" s="2"/>
      <c r="L25" s="2"/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250</v>
      </c>
      <c r="E26" s="14"/>
      <c r="F26" s="17" t="s">
        <v>11</v>
      </c>
      <c r="G26" s="14"/>
      <c r="H26" s="18"/>
      <c r="I26" s="18"/>
      <c r="J26" s="18"/>
      <c r="K26" s="18"/>
      <c r="L26" s="18" t="s">
        <v>303</v>
      </c>
      <c r="M26" s="17">
        <v>7</v>
      </c>
    </row>
    <row r="27" spans="1:13" x14ac:dyDescent="0.25">
      <c r="A27" s="19">
        <v>26</v>
      </c>
      <c r="B27" s="14" t="s">
        <v>312</v>
      </c>
      <c r="C27" s="18" t="s">
        <v>175</v>
      </c>
      <c r="D27" s="18" t="s">
        <v>313</v>
      </c>
      <c r="E27" s="14"/>
      <c r="F27" s="17" t="s">
        <v>11</v>
      </c>
      <c r="G27" s="14"/>
      <c r="H27" s="18"/>
      <c r="I27" s="18"/>
      <c r="J27" s="18"/>
      <c r="K27" s="18"/>
      <c r="L27" s="18" t="s">
        <v>315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347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251</v>
      </c>
      <c r="D29" s="18" t="s">
        <v>252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/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406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253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407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/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408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254</v>
      </c>
      <c r="D33" s="18" t="s">
        <v>255</v>
      </c>
      <c r="E33" s="16"/>
      <c r="F33" s="17" t="s">
        <v>11</v>
      </c>
      <c r="G33" s="16"/>
      <c r="H33" s="18"/>
      <c r="I33" s="18"/>
      <c r="J33" s="18"/>
      <c r="K33" s="18" t="s">
        <v>409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/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410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256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411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/>
      <c r="F36" s="3" t="s">
        <v>8</v>
      </c>
      <c r="G36" s="4" t="s">
        <v>316</v>
      </c>
      <c r="H36" s="3"/>
      <c r="I36" s="3" t="s">
        <v>34</v>
      </c>
      <c r="J36" s="3" t="s">
        <v>205</v>
      </c>
      <c r="K36" s="3" t="s">
        <v>412</v>
      </c>
      <c r="L36" s="3"/>
      <c r="M36" s="3">
        <v>8</v>
      </c>
    </row>
    <row r="37" spans="1:13" x14ac:dyDescent="0.25">
      <c r="A37" s="19">
        <v>36</v>
      </c>
      <c r="B37" s="16" t="s">
        <v>210</v>
      </c>
      <c r="C37" s="18" t="s">
        <v>298</v>
      </c>
      <c r="D37" s="18" t="s">
        <v>299</v>
      </c>
      <c r="E37" s="16"/>
      <c r="F37" s="17" t="s">
        <v>11</v>
      </c>
      <c r="G37" s="16"/>
      <c r="H37" s="18"/>
      <c r="I37" s="18"/>
      <c r="J37" s="18"/>
      <c r="K37" s="18" t="s">
        <v>413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414</v>
      </c>
      <c r="L38" s="3" t="s">
        <v>320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257</v>
      </c>
      <c r="D39" s="18" t="s">
        <v>258</v>
      </c>
      <c r="E39" s="16"/>
      <c r="F39" s="17" t="s">
        <v>8</v>
      </c>
      <c r="G39" s="16"/>
      <c r="H39" s="18"/>
      <c r="I39" s="18"/>
      <c r="J39" s="18"/>
      <c r="K39" s="18" t="s">
        <v>415</v>
      </c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 t="s">
        <v>416</v>
      </c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417</v>
      </c>
      <c r="L41" s="3" t="s">
        <v>405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259</v>
      </c>
      <c r="D42" s="18" t="s">
        <v>260</v>
      </c>
      <c r="E42" s="16"/>
      <c r="F42" s="17" t="s">
        <v>11</v>
      </c>
      <c r="G42" s="16">
        <v>1951</v>
      </c>
      <c r="H42" s="18"/>
      <c r="I42" s="18"/>
      <c r="J42" s="18"/>
      <c r="K42" s="18" t="s">
        <v>418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312</v>
      </c>
      <c r="K43" s="3" t="s">
        <v>419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261</v>
      </c>
      <c r="E44" s="16"/>
      <c r="F44" s="17" t="s">
        <v>11</v>
      </c>
      <c r="G44" s="16"/>
      <c r="H44" s="18"/>
      <c r="I44" s="18"/>
      <c r="J44" s="18"/>
      <c r="K44" s="18" t="s">
        <v>420</v>
      </c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312</v>
      </c>
      <c r="K45" s="3" t="s">
        <v>421</v>
      </c>
      <c r="L45" s="3" t="s">
        <v>317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262</v>
      </c>
      <c r="D46" s="18" t="s">
        <v>263</v>
      </c>
      <c r="E46" s="16"/>
      <c r="F46" s="17" t="s">
        <v>8</v>
      </c>
      <c r="G46" s="16"/>
      <c r="H46" s="18"/>
      <c r="I46" s="18"/>
      <c r="J46" s="18"/>
      <c r="K46" s="18" t="s">
        <v>422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312</v>
      </c>
      <c r="K47" s="3" t="s">
        <v>423</v>
      </c>
      <c r="L47" s="3" t="s">
        <v>318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257</v>
      </c>
      <c r="D48" s="18" t="s">
        <v>264</v>
      </c>
      <c r="E48" s="16"/>
      <c r="F48" s="17" t="s">
        <v>8</v>
      </c>
      <c r="G48" s="16"/>
      <c r="H48" s="18"/>
      <c r="I48" s="18"/>
      <c r="J48" s="18"/>
      <c r="K48" s="18" t="s">
        <v>424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425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426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251</v>
      </c>
      <c r="D51" s="18" t="s">
        <v>265</v>
      </c>
      <c r="E51" s="21"/>
      <c r="F51" s="17" t="s">
        <v>8</v>
      </c>
      <c r="G51" s="21"/>
      <c r="H51" s="18"/>
      <c r="I51" s="18"/>
      <c r="J51" s="18"/>
      <c r="K51" s="18" t="s">
        <v>427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428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266</v>
      </c>
      <c r="E53" s="21"/>
      <c r="F53" s="17" t="s">
        <v>11</v>
      </c>
      <c r="G53" s="21">
        <v>1958</v>
      </c>
      <c r="H53" s="18"/>
      <c r="I53" s="18"/>
      <c r="J53" s="18"/>
      <c r="K53" s="18" t="s">
        <v>429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430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267</v>
      </c>
      <c r="E55" s="21"/>
      <c r="F55" s="17" t="s">
        <v>11</v>
      </c>
      <c r="G55" s="21">
        <v>1959</v>
      </c>
      <c r="H55" s="18"/>
      <c r="I55" s="18"/>
      <c r="J55" s="18"/>
      <c r="K55" s="18" t="s">
        <v>431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432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268</v>
      </c>
      <c r="D57" s="18" t="s">
        <v>269</v>
      </c>
      <c r="E57" s="21"/>
      <c r="F57" s="17" t="s">
        <v>8</v>
      </c>
      <c r="G57" s="21"/>
      <c r="H57" s="18"/>
      <c r="I57" s="18"/>
      <c r="J57" s="18"/>
      <c r="K57" s="18" t="s">
        <v>433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434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270</v>
      </c>
      <c r="D59" s="18" t="s">
        <v>271</v>
      </c>
      <c r="E59" s="21"/>
      <c r="F59" s="17" t="s">
        <v>8</v>
      </c>
      <c r="G59" s="21">
        <v>1955</v>
      </c>
      <c r="H59" s="18"/>
      <c r="I59" s="18"/>
      <c r="J59" s="18"/>
      <c r="K59" s="18" t="s">
        <v>435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436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272</v>
      </c>
      <c r="D61" s="18" t="s">
        <v>267</v>
      </c>
      <c r="E61" s="21"/>
      <c r="F61" s="17" t="s">
        <v>11</v>
      </c>
      <c r="G61" s="21">
        <v>1969</v>
      </c>
      <c r="H61" s="18"/>
      <c r="I61" s="18"/>
      <c r="J61" s="18"/>
      <c r="K61" s="18" t="s">
        <v>437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438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270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439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440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273</v>
      </c>
      <c r="E65" s="21"/>
      <c r="F65" s="17" t="s">
        <v>11</v>
      </c>
      <c r="G65" s="21"/>
      <c r="H65" s="18"/>
      <c r="I65" s="18"/>
      <c r="J65" s="18"/>
      <c r="K65" s="18" t="s">
        <v>441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442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443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444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274</v>
      </c>
      <c r="D69" s="18" t="s">
        <v>255</v>
      </c>
      <c r="E69" s="21"/>
      <c r="F69" s="17" t="s">
        <v>8</v>
      </c>
      <c r="G69" s="21"/>
      <c r="H69" s="18"/>
      <c r="I69" s="18"/>
      <c r="J69" s="18"/>
      <c r="K69" s="18" t="s">
        <v>445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446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275</v>
      </c>
      <c r="D71" s="18" t="s">
        <v>276</v>
      </c>
      <c r="E71" s="21"/>
      <c r="F71" s="17" t="s">
        <v>8</v>
      </c>
      <c r="G71" s="21"/>
      <c r="H71" s="18"/>
      <c r="I71" s="18"/>
      <c r="J71" s="18"/>
      <c r="K71" s="18" t="s">
        <v>447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448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257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449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450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277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451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452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278</v>
      </c>
      <c r="D77" s="18" t="s">
        <v>266</v>
      </c>
      <c r="E77" s="21"/>
      <c r="F77" s="17" t="s">
        <v>11</v>
      </c>
      <c r="G77" s="21">
        <v>1977</v>
      </c>
      <c r="H77" s="18"/>
      <c r="I77" s="18"/>
      <c r="J77" s="18"/>
      <c r="K77" s="18" t="s">
        <v>453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454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298</v>
      </c>
      <c r="D79" s="18" t="s">
        <v>299</v>
      </c>
      <c r="E79" s="21"/>
      <c r="F79" s="17" t="s">
        <v>8</v>
      </c>
      <c r="G79" s="21"/>
      <c r="H79" s="18"/>
      <c r="I79" s="18"/>
      <c r="J79" s="18"/>
      <c r="K79" s="18" t="s">
        <v>455</v>
      </c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456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267</v>
      </c>
      <c r="E81" s="21"/>
      <c r="F81" s="17" t="s">
        <v>11</v>
      </c>
      <c r="G81" s="21"/>
      <c r="H81" s="18"/>
      <c r="I81" s="18"/>
      <c r="J81" s="18"/>
      <c r="K81" s="18" t="s">
        <v>457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458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279</v>
      </c>
      <c r="D83" s="10" t="s">
        <v>280</v>
      </c>
      <c r="E83" s="12"/>
      <c r="F83" s="9" t="s">
        <v>11</v>
      </c>
      <c r="G83" s="12"/>
      <c r="H83" s="10"/>
      <c r="I83" s="10"/>
      <c r="J83" s="10"/>
      <c r="K83" s="10" t="s">
        <v>459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460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281</v>
      </c>
      <c r="D85" s="10" t="s">
        <v>282</v>
      </c>
      <c r="E85" s="12"/>
      <c r="F85" s="9" t="s">
        <v>8</v>
      </c>
      <c r="G85" s="12"/>
      <c r="H85" s="10"/>
      <c r="I85" s="10"/>
      <c r="J85" s="10"/>
      <c r="K85" s="10" t="s">
        <v>461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 t="s">
        <v>462</v>
      </c>
      <c r="L86" s="8" t="s">
        <v>308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463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464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465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283</v>
      </c>
      <c r="D90" s="10" t="s">
        <v>284</v>
      </c>
      <c r="E90" s="13"/>
      <c r="F90" s="9" t="s">
        <v>11</v>
      </c>
      <c r="G90" s="13">
        <v>1997</v>
      </c>
      <c r="H90" s="10"/>
      <c r="I90" s="10"/>
      <c r="J90" s="10"/>
      <c r="K90" s="10" t="s">
        <v>466</v>
      </c>
      <c r="L90" s="10"/>
      <c r="M90" s="9">
        <v>10</v>
      </c>
    </row>
    <row r="91" spans="1:13" x14ac:dyDescent="0.25">
      <c r="A91" s="13">
        <v>90</v>
      </c>
      <c r="B91" s="13" t="s">
        <v>300</v>
      </c>
      <c r="C91" s="10" t="s">
        <v>301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 t="s">
        <v>467</v>
      </c>
      <c r="L91" s="10" t="s">
        <v>302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468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285</v>
      </c>
      <c r="D93" s="10" t="s">
        <v>286</v>
      </c>
      <c r="E93" s="9"/>
      <c r="F93" s="9" t="s">
        <v>8</v>
      </c>
      <c r="G93" s="9">
        <v>1975</v>
      </c>
      <c r="H93" s="10"/>
      <c r="I93" s="10"/>
      <c r="J93" s="10"/>
      <c r="K93" s="10" t="s">
        <v>469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470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287</v>
      </c>
      <c r="D95" s="10" t="s">
        <v>288</v>
      </c>
      <c r="E95" s="9"/>
      <c r="F95" s="9" t="s">
        <v>11</v>
      </c>
      <c r="G95" s="9">
        <v>1990</v>
      </c>
      <c r="H95" s="10"/>
      <c r="I95" s="10"/>
      <c r="J95" s="10"/>
      <c r="K95" s="10" t="s">
        <v>471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319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472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289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473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474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290</v>
      </c>
      <c r="D99" s="10" t="s">
        <v>291</v>
      </c>
      <c r="E99" s="9"/>
      <c r="F99" s="9" t="s">
        <v>8</v>
      </c>
      <c r="G99" s="9">
        <v>1994</v>
      </c>
      <c r="H99" s="10"/>
      <c r="I99" s="10"/>
      <c r="J99" s="10"/>
      <c r="K99" s="10" t="s">
        <v>475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476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477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292</v>
      </c>
      <c r="D102" s="10" t="s">
        <v>293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478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479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186</v>
      </c>
      <c r="D104" s="10" t="s">
        <v>296</v>
      </c>
      <c r="E104" s="9"/>
      <c r="F104" s="9" t="s">
        <v>11</v>
      </c>
      <c r="G104" s="9">
        <v>1983</v>
      </c>
      <c r="H104" s="10"/>
      <c r="I104" s="10"/>
      <c r="J104" s="10"/>
      <c r="K104" s="10" t="s">
        <v>480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481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294</v>
      </c>
      <c r="D106" s="10" t="s">
        <v>295</v>
      </c>
      <c r="E106" s="9"/>
      <c r="F106" s="9" t="s">
        <v>8</v>
      </c>
      <c r="G106" s="9">
        <v>1972</v>
      </c>
      <c r="H106" s="10"/>
      <c r="I106" s="10"/>
      <c r="J106" s="10"/>
      <c r="K106" s="10" t="s">
        <v>482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483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297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484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485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486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487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488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489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490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491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492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493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494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495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496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235</v>
      </c>
      <c r="K121" s="6" t="s">
        <v>497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498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499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500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501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502</v>
      </c>
      <c r="L126" s="6"/>
      <c r="M126" s="6">
        <v>11</v>
      </c>
    </row>
    <row r="127" spans="1:13" x14ac:dyDescent="0.25">
      <c r="A127" s="9">
        <v>126</v>
      </c>
      <c r="B127" s="13" t="s">
        <v>304</v>
      </c>
      <c r="C127" s="9" t="s">
        <v>305</v>
      </c>
      <c r="D127" s="9" t="s">
        <v>306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503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78</v>
      </c>
      <c r="J128" s="6" t="s">
        <v>242</v>
      </c>
      <c r="K128" s="6" t="s">
        <v>504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78</v>
      </c>
      <c r="J129" s="6" t="s">
        <v>242</v>
      </c>
      <c r="K129" s="6" t="s">
        <v>505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506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507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workbookViewId="0">
      <selection activeCell="G15" sqref="G15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321</v>
      </c>
      <c r="B1" s="10" t="s">
        <v>322</v>
      </c>
      <c r="C1" s="10" t="s">
        <v>323</v>
      </c>
      <c r="D1" s="10" t="s">
        <v>324</v>
      </c>
      <c r="E1" s="10" t="s">
        <v>325</v>
      </c>
    </row>
    <row r="2" spans="1:5" x14ac:dyDescent="0.25">
      <c r="A2" s="7" t="s">
        <v>334</v>
      </c>
      <c r="B2" s="24" t="s">
        <v>6</v>
      </c>
      <c r="C2" s="24" t="s">
        <v>9</v>
      </c>
      <c r="D2" s="7" t="s">
        <v>339</v>
      </c>
      <c r="E2" s="7"/>
    </row>
    <row r="3" spans="1:5" x14ac:dyDescent="0.25">
      <c r="A3" s="7" t="s">
        <v>335</v>
      </c>
      <c r="B3" s="24" t="s">
        <v>12</v>
      </c>
      <c r="C3" s="24" t="s">
        <v>196</v>
      </c>
      <c r="D3" s="7" t="s">
        <v>339</v>
      </c>
      <c r="E3" s="7"/>
    </row>
    <row r="4" spans="1:5" x14ac:dyDescent="0.25">
      <c r="A4" s="7" t="s">
        <v>340</v>
      </c>
      <c r="B4" s="24" t="s">
        <v>16</v>
      </c>
      <c r="C4" s="24" t="s">
        <v>199</v>
      </c>
      <c r="D4" s="7" t="s">
        <v>339</v>
      </c>
      <c r="E4" s="7"/>
    </row>
    <row r="5" spans="1:5" x14ac:dyDescent="0.25">
      <c r="A5" s="7" t="s">
        <v>341</v>
      </c>
      <c r="B5" s="24" t="s">
        <v>22</v>
      </c>
      <c r="C5" s="24" t="s">
        <v>200</v>
      </c>
      <c r="D5" s="7" t="s">
        <v>339</v>
      </c>
      <c r="E5" s="7"/>
    </row>
    <row r="6" spans="1:5" x14ac:dyDescent="0.25">
      <c r="A6" s="7" t="s">
        <v>361</v>
      </c>
      <c r="B6" s="24" t="s">
        <v>202</v>
      </c>
      <c r="C6" s="24" t="s">
        <v>29</v>
      </c>
      <c r="D6" s="7" t="s">
        <v>339</v>
      </c>
      <c r="E6" s="7"/>
    </row>
    <row r="7" spans="1:5" x14ac:dyDescent="0.25">
      <c r="A7" s="7" t="s">
        <v>362</v>
      </c>
      <c r="B7" s="24" t="s">
        <v>31</v>
      </c>
      <c r="C7" s="24" t="str">
        <f>B7&amp;"S1"</f>
        <v>VA-6.05S1</v>
      </c>
      <c r="D7" s="7" t="s">
        <v>339</v>
      </c>
      <c r="E7" s="7"/>
    </row>
    <row r="8" spans="1:5" x14ac:dyDescent="0.25">
      <c r="A8" s="7" t="s">
        <v>363</v>
      </c>
      <c r="B8" s="24" t="s">
        <v>34</v>
      </c>
      <c r="C8" s="24" t="s">
        <v>205</v>
      </c>
      <c r="D8" s="7" t="s">
        <v>339</v>
      </c>
      <c r="E8" s="7" t="s">
        <v>342</v>
      </c>
    </row>
    <row r="9" spans="1:5" x14ac:dyDescent="0.25">
      <c r="A9" s="7" t="s">
        <v>364</v>
      </c>
      <c r="B9" s="24" t="s">
        <v>34</v>
      </c>
      <c r="C9" s="24" t="s">
        <v>312</v>
      </c>
      <c r="D9" s="7" t="s">
        <v>339</v>
      </c>
      <c r="E9" s="7" t="s">
        <v>314</v>
      </c>
    </row>
    <row r="10" spans="1:5" x14ac:dyDescent="0.25">
      <c r="A10" s="7" t="s">
        <v>365</v>
      </c>
      <c r="B10" s="24" t="s">
        <v>36</v>
      </c>
      <c r="C10" s="24" t="s">
        <v>207</v>
      </c>
      <c r="D10" s="7" t="s">
        <v>339</v>
      </c>
      <c r="E10" s="7"/>
    </row>
    <row r="11" spans="1:5" x14ac:dyDescent="0.25">
      <c r="A11" s="7" t="s">
        <v>366</v>
      </c>
      <c r="B11" s="24" t="s">
        <v>37</v>
      </c>
      <c r="C11" s="24" t="s">
        <v>208</v>
      </c>
      <c r="D11" s="7" t="s">
        <v>339</v>
      </c>
      <c r="E11" s="7"/>
    </row>
    <row r="12" spans="1:5" x14ac:dyDescent="0.25">
      <c r="A12" s="7" t="s">
        <v>367</v>
      </c>
      <c r="B12" s="24" t="s">
        <v>38</v>
      </c>
      <c r="C12" s="24" t="s">
        <v>208</v>
      </c>
      <c r="D12" s="7" t="s">
        <v>339</v>
      </c>
      <c r="E12" s="7"/>
    </row>
    <row r="13" spans="1:5" x14ac:dyDescent="0.25">
      <c r="A13" s="7" t="s">
        <v>368</v>
      </c>
      <c r="B13" s="24" t="s">
        <v>42</v>
      </c>
      <c r="C13" s="24" t="s">
        <v>212</v>
      </c>
      <c r="D13" s="7" t="s">
        <v>339</v>
      </c>
      <c r="E13" s="7"/>
    </row>
    <row r="14" spans="1:5" x14ac:dyDescent="0.25">
      <c r="A14" s="7" t="s">
        <v>369</v>
      </c>
      <c r="B14" s="24" t="s">
        <v>43</v>
      </c>
      <c r="C14" s="24" t="s">
        <v>213</v>
      </c>
      <c r="D14" s="7" t="s">
        <v>339</v>
      </c>
      <c r="E14" s="7"/>
    </row>
    <row r="15" spans="1:5" x14ac:dyDescent="0.25">
      <c r="A15" s="7" t="s">
        <v>370</v>
      </c>
      <c r="B15" s="24" t="s">
        <v>48</v>
      </c>
      <c r="C15" s="24" t="s">
        <v>217</v>
      </c>
      <c r="D15" s="7" t="s">
        <v>339</v>
      </c>
      <c r="E15" s="7"/>
    </row>
    <row r="16" spans="1:5" x14ac:dyDescent="0.25">
      <c r="A16" s="7" t="s">
        <v>371</v>
      </c>
      <c r="B16" s="24" t="s">
        <v>49</v>
      </c>
      <c r="C16" s="24" t="s">
        <v>218</v>
      </c>
      <c r="D16" s="7" t="s">
        <v>339</v>
      </c>
      <c r="E16" s="7"/>
    </row>
    <row r="17" spans="1:5" x14ac:dyDescent="0.25">
      <c r="A17" s="7" t="s">
        <v>372</v>
      </c>
      <c r="B17" s="24" t="s">
        <v>52</v>
      </c>
      <c r="C17" s="24" t="s">
        <v>221</v>
      </c>
      <c r="D17" s="7" t="s">
        <v>339</v>
      </c>
      <c r="E17" s="7"/>
    </row>
    <row r="18" spans="1:5" x14ac:dyDescent="0.25">
      <c r="A18" s="7" t="s">
        <v>373</v>
      </c>
      <c r="B18" s="24" t="s">
        <v>54</v>
      </c>
      <c r="C18" s="24" t="s">
        <v>223</v>
      </c>
      <c r="D18" s="7" t="s">
        <v>339</v>
      </c>
      <c r="E18" s="7"/>
    </row>
    <row r="19" spans="1:5" x14ac:dyDescent="0.25">
      <c r="A19" s="7" t="s">
        <v>374</v>
      </c>
      <c r="B19" s="24" t="s">
        <v>55</v>
      </c>
      <c r="C19" s="24" t="s">
        <v>224</v>
      </c>
      <c r="D19" s="7" t="s">
        <v>339</v>
      </c>
      <c r="E19" s="7"/>
    </row>
    <row r="20" spans="1:5" x14ac:dyDescent="0.25">
      <c r="A20" s="7" t="s">
        <v>375</v>
      </c>
      <c r="B20" s="24" t="s">
        <v>59</v>
      </c>
      <c r="C20" s="24" t="s">
        <v>228</v>
      </c>
      <c r="D20" s="7" t="s">
        <v>339</v>
      </c>
      <c r="E20" s="7"/>
    </row>
    <row r="21" spans="1:5" x14ac:dyDescent="0.25">
      <c r="A21" s="7" t="s">
        <v>376</v>
      </c>
      <c r="B21" s="24" t="s">
        <v>60</v>
      </c>
      <c r="C21" s="24" t="s">
        <v>229</v>
      </c>
      <c r="D21" s="7" t="s">
        <v>339</v>
      </c>
      <c r="E21" s="7"/>
    </row>
    <row r="22" spans="1:5" x14ac:dyDescent="0.25">
      <c r="A22" s="7" t="s">
        <v>377</v>
      </c>
      <c r="B22" s="24" t="s">
        <v>62</v>
      </c>
      <c r="C22" s="24" t="s">
        <v>231</v>
      </c>
      <c r="D22" s="7" t="s">
        <v>339</v>
      </c>
      <c r="E22" s="7"/>
    </row>
    <row r="23" spans="1:5" x14ac:dyDescent="0.25">
      <c r="A23" s="7" t="s">
        <v>378</v>
      </c>
      <c r="B23" s="24" t="s">
        <v>63</v>
      </c>
      <c r="C23" s="24" t="s">
        <v>232</v>
      </c>
      <c r="D23" s="7" t="s">
        <v>339</v>
      </c>
      <c r="E23" s="7"/>
    </row>
    <row r="24" spans="1:5" x14ac:dyDescent="0.25">
      <c r="A24" s="7" t="s">
        <v>379</v>
      </c>
      <c r="B24" s="24" t="s">
        <v>66</v>
      </c>
      <c r="C24" s="24" t="s">
        <v>234</v>
      </c>
      <c r="D24" s="7" t="s">
        <v>339</v>
      </c>
      <c r="E24" s="7"/>
    </row>
    <row r="25" spans="1:5" x14ac:dyDescent="0.25">
      <c r="A25" s="7" t="s">
        <v>380</v>
      </c>
      <c r="B25" s="24" t="s">
        <v>68</v>
      </c>
      <c r="C25" s="24" t="s">
        <v>235</v>
      </c>
      <c r="D25" s="7" t="s">
        <v>339</v>
      </c>
      <c r="E25" s="7" t="s">
        <v>337</v>
      </c>
    </row>
    <row r="26" spans="1:5" x14ac:dyDescent="0.25">
      <c r="A26" s="7" t="s">
        <v>381</v>
      </c>
      <c r="B26" s="24" t="s">
        <v>68</v>
      </c>
      <c r="C26" s="24" t="s">
        <v>300</v>
      </c>
      <c r="D26" s="7" t="s">
        <v>336</v>
      </c>
      <c r="E26" s="7" t="s">
        <v>338</v>
      </c>
    </row>
    <row r="27" spans="1:5" x14ac:dyDescent="0.25">
      <c r="A27" s="7" t="s">
        <v>382</v>
      </c>
      <c r="B27" s="24" t="s">
        <v>70</v>
      </c>
      <c r="C27" s="24" t="s">
        <v>237</v>
      </c>
      <c r="D27" s="7" t="s">
        <v>339</v>
      </c>
      <c r="E27" s="7"/>
    </row>
    <row r="28" spans="1:5" x14ac:dyDescent="0.25">
      <c r="A28" s="7" t="s">
        <v>383</v>
      </c>
      <c r="B28" s="24" t="s">
        <v>76</v>
      </c>
      <c r="C28" s="24" t="s">
        <v>240</v>
      </c>
      <c r="D28" s="7" t="s">
        <v>339</v>
      </c>
      <c r="E28" s="7"/>
    </row>
    <row r="29" spans="1:5" x14ac:dyDescent="0.25">
      <c r="A29" s="7" t="s">
        <v>384</v>
      </c>
      <c r="B29" s="24" t="s">
        <v>78</v>
      </c>
      <c r="C29" s="24" t="s">
        <v>242</v>
      </c>
      <c r="D29" s="7" t="s">
        <v>339</v>
      </c>
      <c r="E29" s="7"/>
    </row>
    <row r="30" spans="1:5" x14ac:dyDescent="0.25">
      <c r="A30" s="7" t="s">
        <v>385</v>
      </c>
      <c r="B30" s="24" t="s">
        <v>80</v>
      </c>
      <c r="C30" s="24" t="s">
        <v>243</v>
      </c>
      <c r="D30" s="7" t="s">
        <v>339</v>
      </c>
      <c r="E30" s="7"/>
    </row>
    <row r="31" spans="1:5" x14ac:dyDescent="0.25">
      <c r="A31" s="7" t="s">
        <v>386</v>
      </c>
      <c r="B31" s="24" t="s">
        <v>304</v>
      </c>
      <c r="C31" s="24" t="s">
        <v>108</v>
      </c>
      <c r="D31" s="7" t="s">
        <v>339</v>
      </c>
      <c r="E31" s="7" t="s">
        <v>337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E9"/>
  <sheetViews>
    <sheetView workbookViewId="0">
      <selection activeCell="O13" sqref="O13"/>
    </sheetView>
  </sheetViews>
  <sheetFormatPr defaultRowHeight="15" x14ac:dyDescent="0.25"/>
  <cols>
    <col min="1" max="1" width="13.42578125" customWidth="1"/>
    <col min="3" max="3" width="18.5703125" customWidth="1"/>
    <col min="4" max="4" width="42.7109375" customWidth="1"/>
    <col min="5" max="5" width="22" customWidth="1"/>
  </cols>
  <sheetData>
    <row r="1" spans="1:5" x14ac:dyDescent="0.25">
      <c r="A1" s="25" t="s">
        <v>326</v>
      </c>
      <c r="B1" s="25" t="s">
        <v>327</v>
      </c>
      <c r="C1" s="25" t="s">
        <v>391</v>
      </c>
      <c r="D1" s="25" t="s">
        <v>328</v>
      </c>
      <c r="E1" s="26" t="s">
        <v>389</v>
      </c>
    </row>
    <row r="2" spans="1:5" x14ac:dyDescent="0.25">
      <c r="A2" s="7" t="s">
        <v>6</v>
      </c>
      <c r="B2" s="7" t="s">
        <v>329</v>
      </c>
      <c r="C2" s="7" t="s">
        <v>387</v>
      </c>
      <c r="D2" s="7" t="s">
        <v>388</v>
      </c>
      <c r="E2" s="7" t="s">
        <v>390</v>
      </c>
    </row>
    <row r="3" spans="1:5" x14ac:dyDescent="0.25">
      <c r="A3" s="7" t="s">
        <v>312</v>
      </c>
      <c r="B3" s="7" t="s">
        <v>329</v>
      </c>
      <c r="C3" s="7" t="s">
        <v>330</v>
      </c>
      <c r="D3" s="7" t="s">
        <v>331</v>
      </c>
      <c r="E3" s="7" t="s">
        <v>390</v>
      </c>
    </row>
    <row r="4" spans="1:5" x14ac:dyDescent="0.25">
      <c r="A4" s="7" t="s">
        <v>36</v>
      </c>
      <c r="B4" s="7" t="s">
        <v>329</v>
      </c>
      <c r="C4" s="7" t="s">
        <v>393</v>
      </c>
      <c r="D4" s="7" t="s">
        <v>398</v>
      </c>
      <c r="E4" s="7" t="s">
        <v>390</v>
      </c>
    </row>
    <row r="5" spans="1:5" x14ac:dyDescent="0.25">
      <c r="A5" s="7" t="s">
        <v>207</v>
      </c>
      <c r="B5" s="7" t="s">
        <v>329</v>
      </c>
      <c r="C5" s="27" t="s">
        <v>392</v>
      </c>
      <c r="D5" s="7" t="s">
        <v>399</v>
      </c>
      <c r="E5" s="7" t="s">
        <v>390</v>
      </c>
    </row>
    <row r="6" spans="1:5" x14ac:dyDescent="0.25">
      <c r="A6" s="7" t="s">
        <v>47</v>
      </c>
      <c r="B6" s="7" t="s">
        <v>329</v>
      </c>
      <c r="C6" s="7" t="s">
        <v>394</v>
      </c>
      <c r="D6" s="7" t="s">
        <v>397</v>
      </c>
      <c r="E6" s="7" t="s">
        <v>390</v>
      </c>
    </row>
    <row r="7" spans="1:5" x14ac:dyDescent="0.25">
      <c r="A7" s="7" t="s">
        <v>48</v>
      </c>
      <c r="B7" s="7" t="s">
        <v>329</v>
      </c>
      <c r="C7" s="7" t="s">
        <v>395</v>
      </c>
      <c r="D7" s="7" t="s">
        <v>396</v>
      </c>
      <c r="E7" s="7" t="s">
        <v>390</v>
      </c>
    </row>
    <row r="8" spans="1:5" x14ac:dyDescent="0.25">
      <c r="A8" s="7" t="s">
        <v>65</v>
      </c>
      <c r="B8" s="7" t="s">
        <v>329</v>
      </c>
      <c r="C8" s="7" t="s">
        <v>332</v>
      </c>
      <c r="D8" s="7" t="s">
        <v>333</v>
      </c>
      <c r="E8" s="7" t="s">
        <v>390</v>
      </c>
    </row>
    <row r="9" spans="1:5" x14ac:dyDescent="0.25">
      <c r="A9" s="7"/>
      <c r="B9" s="7"/>
      <c r="C9" s="7"/>
      <c r="D9" s="7"/>
      <c r="E9" s="7"/>
    </row>
  </sheetData>
  <autoFilter ref="A1:E1" xr:uid="{1A337F81-5FE2-493C-AFA8-0A38C4915F5A}">
    <sortState xmlns:xlrd2="http://schemas.microsoft.com/office/spreadsheetml/2017/richdata2" ref="A2:E8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326</v>
      </c>
      <c r="B1" t="s">
        <v>343</v>
      </c>
      <c r="C1" t="s">
        <v>344</v>
      </c>
      <c r="D1" t="s">
        <v>345</v>
      </c>
      <c r="E1" t="s">
        <v>346</v>
      </c>
    </row>
    <row r="2" spans="1:5" x14ac:dyDescent="0.25">
      <c r="A2" t="s">
        <v>68</v>
      </c>
      <c r="B2" s="23" t="s">
        <v>357</v>
      </c>
      <c r="C2" t="s">
        <v>358</v>
      </c>
      <c r="D2" t="s">
        <v>359</v>
      </c>
      <c r="E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3"/>
  <sheetViews>
    <sheetView workbookViewId="0">
      <selection activeCell="D4" sqref="D4"/>
    </sheetView>
  </sheetViews>
  <sheetFormatPr defaultRowHeight="15" x14ac:dyDescent="0.25"/>
  <cols>
    <col min="1" max="1" width="10" bestFit="1" customWidth="1"/>
    <col min="2" max="2" width="10" customWidth="1"/>
    <col min="3" max="3" width="10.7109375" bestFit="1" customWidth="1"/>
    <col min="4" max="4" width="10.7109375" customWidth="1"/>
    <col min="5" max="5" width="9.5703125" bestFit="1" customWidth="1"/>
  </cols>
  <sheetData>
    <row r="1" spans="1:5" x14ac:dyDescent="0.25">
      <c r="A1" t="s">
        <v>350</v>
      </c>
      <c r="B1" t="s">
        <v>400</v>
      </c>
      <c r="C1" t="s">
        <v>351</v>
      </c>
      <c r="D1" t="s">
        <v>401</v>
      </c>
      <c r="E1" t="s">
        <v>352</v>
      </c>
    </row>
    <row r="2" spans="1:5" x14ac:dyDescent="0.25">
      <c r="A2" t="s">
        <v>68</v>
      </c>
      <c r="B2" t="s">
        <v>402</v>
      </c>
      <c r="C2" t="s">
        <v>353</v>
      </c>
      <c r="D2" t="s">
        <v>403</v>
      </c>
      <c r="E2" t="s">
        <v>354</v>
      </c>
    </row>
    <row r="3" spans="1:5" x14ac:dyDescent="0.25">
      <c r="A3" t="s">
        <v>68</v>
      </c>
      <c r="B3" t="s">
        <v>402</v>
      </c>
      <c r="C3" t="s">
        <v>356</v>
      </c>
      <c r="D3" t="s">
        <v>404</v>
      </c>
      <c r="E3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2026-08-12T07:09:42Z</dcterms:modified>
</cp:coreProperties>
</file>